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8_{AD65CD71-60CF-4907-8AD5-BEA78DF5C7C5}" xr6:coauthVersionLast="47" xr6:coauthVersionMax="47" xr10:uidLastSave="{00000000-0000-0000-0000-000000000000}"/>
  <bookViews>
    <workbookView xWindow="-120" yWindow="-120" windowWidth="29040" windowHeight="15840" activeTab="1" xr2:uid="{67B4FEEB-0D84-F241-9CC2-FB10DE711B8D}"/>
  </bookViews>
  <sheets>
    <sheet name="Glycanlist" sheetId="1" r:id="rId1"/>
    <sheet name="MSlist" sheetId="2" r:id="rId2"/>
    <sheet name="information_sheet" sheetId="6" r:id="rId3"/>
    <sheet name="ionlist" sheetId="7" r:id="rId4"/>
    <sheet name="工作表3" sheetId="3" r:id="rId5"/>
  </sheets>
  <definedNames>
    <definedName name="_xlnm._FilterDatabase" localSheetId="4" hidden="1">工作表3!$A$1:$A$1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  <c r="F61" i="1"/>
  <c r="D61" i="1"/>
  <c r="H60" i="1"/>
  <c r="G60" i="1"/>
  <c r="F60" i="1"/>
  <c r="D60" i="1"/>
  <c r="H56" i="1"/>
  <c r="G56" i="1"/>
  <c r="F56" i="1"/>
  <c r="D56" i="1"/>
  <c r="H54" i="1"/>
  <c r="G54" i="1"/>
  <c r="F54" i="1"/>
  <c r="D54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7" i="1"/>
  <c r="H58" i="1"/>
  <c r="H59" i="1"/>
  <c r="H62" i="1"/>
  <c r="H63" i="1"/>
  <c r="H64" i="1"/>
  <c r="H65" i="1"/>
  <c r="H66" i="1"/>
  <c r="H67" i="1"/>
  <c r="H68" i="1"/>
  <c r="H6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3" i="1"/>
  <c r="H4" i="1"/>
  <c r="H5" i="1"/>
  <c r="H6" i="1"/>
  <c r="H7" i="1"/>
  <c r="G69" i="1"/>
  <c r="F69" i="1"/>
  <c r="D69" i="1"/>
  <c r="G68" i="1"/>
  <c r="F68" i="1"/>
  <c r="D68" i="1"/>
  <c r="G67" i="1"/>
  <c r="F67" i="1"/>
  <c r="D67" i="1"/>
  <c r="G66" i="1"/>
  <c r="F66" i="1"/>
  <c r="D66" i="1"/>
  <c r="G65" i="1"/>
  <c r="F65" i="1"/>
  <c r="D65" i="1"/>
  <c r="G64" i="1"/>
  <c r="F64" i="1"/>
  <c r="D64" i="1"/>
  <c r="G62" i="1"/>
  <c r="F62" i="1"/>
  <c r="D62" i="1"/>
  <c r="G63" i="1"/>
  <c r="F63" i="1"/>
  <c r="D63" i="1"/>
  <c r="G59" i="1"/>
  <c r="F59" i="1"/>
  <c r="D59" i="1"/>
  <c r="G58" i="1"/>
  <c r="F58" i="1"/>
  <c r="D58" i="1"/>
  <c r="G57" i="1"/>
  <c r="F57" i="1"/>
  <c r="D57" i="1"/>
  <c r="G55" i="1"/>
  <c r="F55" i="1"/>
  <c r="D55" i="1"/>
  <c r="G53" i="1"/>
  <c r="F53" i="1"/>
  <c r="D53" i="1"/>
  <c r="G52" i="1"/>
  <c r="F52" i="1"/>
  <c r="D52" i="1"/>
  <c r="G51" i="1"/>
  <c r="F51" i="1"/>
  <c r="D51" i="1"/>
  <c r="G50" i="1"/>
  <c r="F50" i="1"/>
  <c r="D50" i="1"/>
  <c r="G49" i="1"/>
  <c r="F49" i="1"/>
  <c r="D49" i="1"/>
  <c r="G48" i="1"/>
  <c r="F48" i="1"/>
  <c r="D48" i="1"/>
  <c r="G47" i="1"/>
  <c r="F47" i="1"/>
  <c r="D47" i="1"/>
  <c r="G46" i="1"/>
  <c r="F46" i="1"/>
  <c r="D46" i="1"/>
  <c r="G45" i="1"/>
  <c r="F45" i="1"/>
  <c r="D45" i="1"/>
  <c r="G44" i="1"/>
  <c r="F44" i="1"/>
  <c r="D44" i="1"/>
  <c r="G43" i="1"/>
  <c r="F43" i="1"/>
  <c r="D43" i="1"/>
  <c r="G42" i="1"/>
  <c r="F42" i="1"/>
  <c r="D42" i="1"/>
  <c r="G41" i="1"/>
  <c r="F41" i="1"/>
  <c r="D41" i="1"/>
  <c r="G40" i="1"/>
  <c r="F40" i="1"/>
  <c r="D40" i="1"/>
  <c r="G39" i="1"/>
  <c r="F39" i="1"/>
  <c r="D39" i="1"/>
  <c r="G38" i="1"/>
  <c r="F38" i="1"/>
  <c r="D38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3" i="1"/>
  <c r="D3" i="1"/>
  <c r="S2" i="1"/>
  <c r="Q2" i="1"/>
</calcChain>
</file>

<file path=xl/sharedStrings.xml><?xml version="1.0" encoding="utf-8"?>
<sst xmlns="http://schemas.openxmlformats.org/spreadsheetml/2006/main" count="950" uniqueCount="221">
  <si>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</si>
  <si>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</si>
  <si>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</si>
  <si>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</si>
  <si>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</si>
  <si>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</si>
  <si>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Man5</t>
    <phoneticPr fontId="1" type="noConversion"/>
  </si>
  <si>
    <t>Man6</t>
    <phoneticPr fontId="1" type="noConversion"/>
  </si>
  <si>
    <t>Man7</t>
    <phoneticPr fontId="1" type="noConversion"/>
  </si>
  <si>
    <t>Man8</t>
    <phoneticPr fontId="1" type="noConversion"/>
  </si>
  <si>
    <t>Man9</t>
    <phoneticPr fontId="1" type="noConversion"/>
  </si>
  <si>
    <t>Mass 3H+</t>
    <phoneticPr fontId="1" type="noConversion"/>
  </si>
  <si>
    <t>Na ion</t>
    <phoneticPr fontId="1" type="noConversion"/>
  </si>
  <si>
    <t>H?</t>
    <phoneticPr fontId="1" type="noConversion"/>
  </si>
  <si>
    <t>H5N2</t>
    <phoneticPr fontId="1" type="noConversion"/>
  </si>
  <si>
    <t>H6N2</t>
    <phoneticPr fontId="1" type="noConversion"/>
  </si>
  <si>
    <t>H7N2</t>
    <phoneticPr fontId="1" type="noConversion"/>
  </si>
  <si>
    <t>H8N2</t>
    <phoneticPr fontId="1" type="noConversion"/>
  </si>
  <si>
    <t>H9N2</t>
    <phoneticPr fontId="1" type="noConversion"/>
  </si>
  <si>
    <t>MS2 in 2H</t>
    <phoneticPr fontId="1" type="noConversion"/>
  </si>
  <si>
    <t>MS2 in H</t>
    <phoneticPr fontId="1" type="noConversion"/>
  </si>
  <si>
    <t>MS2 in 3H</t>
    <phoneticPr fontId="1" type="noConversion"/>
  </si>
  <si>
    <t>-</t>
    <phoneticPr fontId="1" type="noConversion"/>
  </si>
  <si>
    <t>MS2 in Na</t>
    <phoneticPr fontId="1" type="noConversion"/>
  </si>
  <si>
    <t>mass shift</t>
    <phoneticPr fontId="1" type="noConversion"/>
  </si>
  <si>
    <t>H4N3S2</t>
  </si>
  <si>
    <t>H3N4</t>
  </si>
  <si>
    <t>H3N6G2</t>
  </si>
  <si>
    <t>H3N6S1G1</t>
  </si>
  <si>
    <t>H5N6S1</t>
  </si>
  <si>
    <t>H3N5</t>
  </si>
  <si>
    <t>F1H3N5</t>
  </si>
  <si>
    <t>F1H4N5</t>
  </si>
  <si>
    <t>F1H5N5</t>
  </si>
  <si>
    <t>F2H7N4G1</t>
  </si>
  <si>
    <t>F1H7N3S1G1</t>
  </si>
  <si>
    <t>F2H7N4S1</t>
  </si>
  <si>
    <t>F1H3N3</t>
  </si>
  <si>
    <t>F2H6N5S1</t>
  </si>
  <si>
    <t>F2H7N4G2</t>
  </si>
  <si>
    <t>F2H7N4S2</t>
  </si>
  <si>
    <t>F2H7N4S1G1</t>
  </si>
  <si>
    <t>H3N3S1</t>
  </si>
  <si>
    <t>F1H4N2</t>
  </si>
  <si>
    <t>F1H4N3</t>
  </si>
  <si>
    <t>H4N4G1</t>
  </si>
  <si>
    <t>From latest val</t>
    <phoneticPr fontId="1" type="noConversion"/>
  </si>
  <si>
    <t>H4N4G1</t>
    <phoneticPr fontId="1" type="noConversion"/>
  </si>
  <si>
    <t>Hybrid GcLDNC</t>
    <phoneticPr fontId="1" type="noConversion"/>
  </si>
  <si>
    <t>Criteria of selection</t>
    <phoneticPr fontId="1" type="noConversion"/>
  </si>
  <si>
    <t>Bio</t>
    <phoneticPr fontId="1" type="noConversion"/>
  </si>
  <si>
    <t>Paper</t>
    <phoneticPr fontId="1" type="noConversion"/>
  </si>
  <si>
    <t>Extend from paper</t>
    <phoneticPr fontId="1" type="noConversion"/>
  </si>
  <si>
    <t>H4N4S1</t>
    <phoneticPr fontId="1" type="noConversion"/>
  </si>
  <si>
    <t>Hybrid AcLDNC</t>
    <phoneticPr fontId="1" type="noConversion"/>
  </si>
  <si>
    <t>charge</t>
    <phoneticPr fontId="1" type="noConversion"/>
  </si>
  <si>
    <t>H5N4G1</t>
    <phoneticPr fontId="1" type="noConversion"/>
  </si>
  <si>
    <t>H5N4S1</t>
    <phoneticPr fontId="1" type="noConversion"/>
  </si>
  <si>
    <t>note</t>
    <phoneticPr fontId="1" type="noConversion"/>
  </si>
  <si>
    <t>Peak 2 biantennary mixture</t>
    <phoneticPr fontId="1" type="noConversion"/>
  </si>
  <si>
    <t>Peak 0 biantennary mixture</t>
    <phoneticPr fontId="1" type="noConversion"/>
  </si>
  <si>
    <t>F1H4N5</t>
    <phoneticPr fontId="1" type="noConversion"/>
  </si>
  <si>
    <t>Bian- LeAX LDNC</t>
    <phoneticPr fontId="1" type="noConversion"/>
  </si>
  <si>
    <t>Bian- CoreFuc LN LDNC</t>
    <phoneticPr fontId="1" type="noConversion"/>
  </si>
  <si>
    <t>isotope from ms2 evidences</t>
    <phoneticPr fontId="1" type="noConversion"/>
  </si>
  <si>
    <t>TRUE when searching?</t>
    <phoneticPr fontId="1" type="noConversion"/>
  </si>
  <si>
    <t>F2H5N5</t>
    <phoneticPr fontId="1" type="noConversion"/>
  </si>
  <si>
    <t>Bisect- zf epitope</t>
    <phoneticPr fontId="1" type="noConversion"/>
  </si>
  <si>
    <t>H3N6S1G1</t>
    <phoneticPr fontId="1" type="noConversion"/>
  </si>
  <si>
    <t>H3N6G2</t>
    <phoneticPr fontId="1" type="noConversion"/>
  </si>
  <si>
    <t>Bian- AcLDNC</t>
    <phoneticPr fontId="1" type="noConversion"/>
  </si>
  <si>
    <t>Bian- GcLDNC</t>
    <phoneticPr fontId="1" type="noConversion"/>
  </si>
  <si>
    <t>Bian- AcGcLDNC</t>
    <phoneticPr fontId="1" type="noConversion"/>
  </si>
  <si>
    <t>H3N6S2</t>
    <phoneticPr fontId="1" type="noConversion"/>
  </si>
  <si>
    <t>F2H7N4S1</t>
    <phoneticPr fontId="1" type="noConversion"/>
  </si>
  <si>
    <t>Bian- zf specic 2</t>
    <phoneticPr fontId="1" type="noConversion"/>
  </si>
  <si>
    <t>F2H7N4G1</t>
    <phoneticPr fontId="1" type="noConversion"/>
  </si>
  <si>
    <t>F3H7N5</t>
    <phoneticPr fontId="1" type="noConversion"/>
  </si>
  <si>
    <t>Peak 2 uncertain which struc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</si>
  <si>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</si>
  <si>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</si>
  <si>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</si>
  <si>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F1H5N5</t>
    <phoneticPr fontId="1" type="noConversion"/>
  </si>
  <si>
    <t>Bisect LN</t>
    <phoneticPr fontId="1" type="noConversion"/>
  </si>
  <si>
    <t>Glypick</t>
    <phoneticPr fontId="1" type="noConversion"/>
  </si>
  <si>
    <t>H3N4</t>
    <phoneticPr fontId="1" type="noConversion"/>
  </si>
  <si>
    <t>H3N5</t>
    <phoneticPr fontId="1" type="noConversion"/>
  </si>
  <si>
    <t>Core</t>
    <phoneticPr fontId="1" type="noConversion"/>
  </si>
  <si>
    <t>Core Bisect</t>
    <phoneticPr fontId="1" type="noConversion"/>
  </si>
  <si>
    <t>F2H6N5S1</t>
    <phoneticPr fontId="1" type="noConversion"/>
  </si>
  <si>
    <t>Trian- Ac</t>
    <phoneticPr fontId="1" type="noConversion"/>
  </si>
  <si>
    <t>H5N3</t>
    <phoneticPr fontId="1" type="noConversion"/>
  </si>
  <si>
    <t>擴大搜尋</t>
    <phoneticPr fontId="1" type="noConversion"/>
  </si>
  <si>
    <t>Hybrid</t>
    <phoneticPr fontId="1" type="noConversion"/>
  </si>
  <si>
    <t>F1H3N4</t>
    <phoneticPr fontId="1" type="noConversion"/>
  </si>
  <si>
    <t>Bian-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</si>
  <si>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</si>
  <si>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</si>
  <si>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</si>
  <si>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</si>
  <si>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</si>
  <si>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H5N4</t>
    <phoneticPr fontId="1" type="noConversion"/>
  </si>
  <si>
    <t>9,10,11</t>
    <phoneticPr fontId="1" type="noConversion"/>
  </si>
  <si>
    <t>擴大搜尋, XIC strong</t>
    <phoneticPr fontId="1" type="noConversion"/>
  </si>
  <si>
    <t>H5N4 (Normal)</t>
    <phoneticPr fontId="1" type="noConversion"/>
  </si>
  <si>
    <t>H5N4 (Gal-Gal)</t>
    <phoneticPr fontId="1" type="noConversion"/>
  </si>
  <si>
    <t>F1H3N5</t>
    <phoneticPr fontId="1" type="noConversion"/>
  </si>
  <si>
    <t>Bisect core</t>
    <phoneticPr fontId="1" type="noConversion"/>
  </si>
  <si>
    <t>F1H5N4</t>
    <phoneticPr fontId="1" type="noConversion"/>
  </si>
  <si>
    <t>13,14</t>
    <phoneticPr fontId="1" type="noConversion"/>
  </si>
  <si>
    <t>擴大搜尋, strong 621 651</t>
    <phoneticPr fontId="1" type="noConversion"/>
  </si>
  <si>
    <t>not 20</t>
    <phoneticPr fontId="1" type="noConversion"/>
  </si>
  <si>
    <t>F1H6N4</t>
    <phoneticPr fontId="1" type="noConversion"/>
  </si>
  <si>
    <t>21,22</t>
    <phoneticPr fontId="1" type="noConversion"/>
  </si>
  <si>
    <t>Bian- zf specic</t>
    <phoneticPr fontId="1" type="noConversion"/>
  </si>
  <si>
    <t>F2H4N5</t>
    <phoneticPr fontId="1" type="noConversion"/>
  </si>
  <si>
    <t>Bisect</t>
    <phoneticPr fontId="1" type="noConversion"/>
  </si>
  <si>
    <t>F1H5N4S1</t>
    <phoneticPr fontId="1" type="noConversion"/>
  </si>
  <si>
    <t>30-34</t>
    <phoneticPr fontId="1" type="noConversion"/>
  </si>
  <si>
    <t>mixture, 最前面疑似NG31 (199xx)</t>
    <phoneticPr fontId="1" type="noConversion"/>
  </si>
  <si>
    <t>F2H6N4</t>
    <phoneticPr fontId="1" type="noConversion"/>
  </si>
  <si>
    <t>35,36</t>
    <phoneticPr fontId="1" type="noConversion"/>
  </si>
  <si>
    <t>H6N4S1</t>
    <phoneticPr fontId="1" type="noConversion"/>
  </si>
  <si>
    <t>F1H5N4G1</t>
    <phoneticPr fontId="1" type="noConversion"/>
  </si>
  <si>
    <t>Multiple possibilities</t>
    <phoneticPr fontId="1" type="noConversion"/>
  </si>
  <si>
    <t>37, 38</t>
    <phoneticPr fontId="1" type="noConversion"/>
  </si>
  <si>
    <t>39-41</t>
    <phoneticPr fontId="1" type="noConversion"/>
  </si>
  <si>
    <t>F1H6N5</t>
    <phoneticPr fontId="1" type="noConversion"/>
  </si>
  <si>
    <t>44,45</t>
    <phoneticPr fontId="1" type="noConversion"/>
  </si>
  <si>
    <t>F1H6N4S1</t>
    <phoneticPr fontId="1" type="noConversion"/>
  </si>
  <si>
    <t>46-49</t>
    <phoneticPr fontId="1" type="noConversion"/>
  </si>
  <si>
    <t>F1H5N5KDN1</t>
    <phoneticPr fontId="1" type="noConversion"/>
  </si>
  <si>
    <t>50,51</t>
    <phoneticPr fontId="1" type="noConversion"/>
  </si>
  <si>
    <t>KDN-</t>
    <phoneticPr fontId="1" type="noConversion"/>
  </si>
  <si>
    <t>F2H7N4</t>
    <phoneticPr fontId="1" type="noConversion"/>
  </si>
  <si>
    <t xml:space="preserve">Bian- zf </t>
    <phoneticPr fontId="1" type="noConversion"/>
  </si>
  <si>
    <t>F1H4N6KDN1</t>
    <phoneticPr fontId="1" type="noConversion"/>
  </si>
  <si>
    <t>wrong icon in paper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</si>
  <si>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</si>
  <si>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</si>
  <si>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</si>
  <si>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</si>
  <si>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F1H5N4S1G1</t>
    <phoneticPr fontId="1" type="noConversion"/>
  </si>
  <si>
    <t>62-64</t>
    <phoneticPr fontId="1" type="noConversion"/>
  </si>
  <si>
    <t>F2H5N5KDN1</t>
    <phoneticPr fontId="1" type="noConversion"/>
  </si>
  <si>
    <t>Bisect KDN</t>
    <phoneticPr fontId="1" type="noConversion"/>
  </si>
  <si>
    <t>F2H6N4S1</t>
    <phoneticPr fontId="1" type="noConversion"/>
  </si>
  <si>
    <t>Bian- zf</t>
    <phoneticPr fontId="1" type="noConversion"/>
  </si>
  <si>
    <t>F3H7N4</t>
    <phoneticPr fontId="1" type="noConversion"/>
  </si>
  <si>
    <t>F1H6N5KDN1</t>
    <phoneticPr fontId="1" type="noConversion"/>
  </si>
  <si>
    <t>67,68</t>
    <phoneticPr fontId="1" type="noConversion"/>
  </si>
  <si>
    <t>69,70</t>
    <phoneticPr fontId="1" type="noConversion"/>
  </si>
  <si>
    <t>F1H6N5S1</t>
    <phoneticPr fontId="1" type="noConversion"/>
  </si>
  <si>
    <t>F2H7N5</t>
    <phoneticPr fontId="1" type="noConversion"/>
  </si>
  <si>
    <t>71-73</t>
    <phoneticPr fontId="1" type="noConversion"/>
  </si>
  <si>
    <t>Bisect or Trian-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</si>
  <si>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</si>
  <si>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</si>
  <si>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</si>
  <si>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F2H6N5KDN1</t>
    <phoneticPr fontId="1" type="noConversion"/>
  </si>
  <si>
    <t>79, 80</t>
    <phoneticPr fontId="1" type="noConversion"/>
  </si>
  <si>
    <t>F1H6N4S1G1</t>
    <phoneticPr fontId="1" type="noConversion"/>
  </si>
  <si>
    <t>Bian- zf AcGc</t>
    <phoneticPr fontId="1" type="noConversion"/>
  </si>
  <si>
    <t>82-84</t>
    <phoneticPr fontId="1" type="noConversion"/>
  </si>
  <si>
    <t>87,88</t>
    <phoneticPr fontId="1" type="noConversion"/>
  </si>
  <si>
    <t>F3H7N4S1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</si>
  <si>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</si>
  <si>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</si>
  <si>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</si>
  <si>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F3H9N5S3</t>
    <phoneticPr fontId="1" type="noConversion"/>
  </si>
  <si>
    <t>Trian- Ac zf</t>
    <phoneticPr fontId="1" type="noConversion"/>
  </si>
  <si>
    <t>F2H11N7S1</t>
    <phoneticPr fontId="1" type="noConversion"/>
  </si>
  <si>
    <t xml:space="preserve">Tetra- </t>
    <phoneticPr fontId="1" type="noConversion"/>
  </si>
  <si>
    <t>Bi? Tri? Bisect?</t>
    <phoneticPr fontId="1" type="noConversion"/>
  </si>
  <si>
    <t>Mass 4H+ (max)</t>
    <phoneticPr fontId="1" type="noConversion"/>
  </si>
  <si>
    <t>weak</t>
    <phoneticPr fontId="1" type="noConversion"/>
  </si>
  <si>
    <t>有兩張有關鍵peak但也有344, 374污染 (20386, 20581)</t>
    <phoneticPr fontId="1" type="noConversion"/>
  </si>
  <si>
    <t>Triantennary OR bisecting, core-Fuc,  not the ones in list</t>
    <phoneticPr fontId="1" type="noConversion"/>
  </si>
  <si>
    <t>relatively weak (strong XIC but no MS2)</t>
    <phoneticPr fontId="1" type="noConversion"/>
  </si>
  <si>
    <t>F2H6N4G1?</t>
    <phoneticPr fontId="1" type="noConversion"/>
  </si>
  <si>
    <t>F2H6N4G1</t>
  </si>
  <si>
    <t>F2H6N4G1</t>
    <phoneticPr fontId="1" type="noConversion"/>
  </si>
  <si>
    <t>F2H5N5G1</t>
    <phoneticPr fontId="1" type="noConversion"/>
  </si>
  <si>
    <t>see below</t>
    <phoneticPr fontId="1" type="noConversion"/>
  </si>
  <si>
    <t>F2H5N4S1G1</t>
    <phoneticPr fontId="1" type="noConversion"/>
  </si>
  <si>
    <t>weak and no critical ions</t>
    <phoneticPr fontId="1" type="noConversion"/>
  </si>
  <si>
    <t>MS2 in 4H</t>
    <phoneticPr fontId="1" type="noConversion"/>
  </si>
  <si>
    <t>strong peaks, unknown structure</t>
    <phoneticPr fontId="1" type="noConversion"/>
  </si>
  <si>
    <t>Structure</t>
    <phoneticPr fontId="1" type="noConversion"/>
  </si>
  <si>
    <t>It's F2H7N4S1 (found in 20240922)</t>
    <phoneticPr fontId="1" type="noConversion"/>
  </si>
  <si>
    <t>MS2scan_no</t>
    <phoneticPr fontId="1" type="noConversion"/>
  </si>
  <si>
    <t>adduct</t>
    <phoneticPr fontId="1" type="noConversion"/>
  </si>
  <si>
    <t>2H</t>
    <phoneticPr fontId="1" type="noConversion"/>
  </si>
  <si>
    <t>3H</t>
    <phoneticPr fontId="1" type="noConversion"/>
  </si>
  <si>
    <t>remove same MS2 assigned as multiple composition</t>
    <phoneticPr fontId="1" type="noConversion"/>
  </si>
  <si>
    <t xml:space="preserve">are 3H 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</si>
  <si>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</si>
  <si>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</si>
  <si>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</si>
  <si>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</si>
  <si>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</si>
  <si>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</si>
  <si>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</si>
  <si>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</si>
  <si>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</si>
  <si>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</si>
  <si>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ovary</t>
    <phoneticPr fontId="1" type="noConversion"/>
  </si>
  <si>
    <t>ovary data are from 2023 October</t>
    <phoneticPr fontId="1" type="noConversion"/>
  </si>
  <si>
    <t>ion name</t>
    <phoneticPr fontId="1" type="noConversion"/>
  </si>
  <si>
    <t>ion type</t>
    <phoneticPr fontId="1" type="noConversion"/>
  </si>
  <si>
    <t>mass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</si>
  <si>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</si>
  <si>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</si>
  <si>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</si>
  <si>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</si>
  <si>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</si>
  <si>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IUPACname(optional)</t>
    <phoneticPr fontId="1" type="noConversion"/>
  </si>
  <si>
    <t>diff profile (integer for groups if different from same annotation)</t>
    <phoneticPr fontId="1" type="noConversion"/>
  </si>
  <si>
    <t>Glycanannotation2</t>
    <phoneticPr fontId="1" type="noConversion"/>
  </si>
  <si>
    <t>Change H5N2~H9N2 to annotation Man5~Man9</t>
    <phoneticPr fontId="1" type="noConversion"/>
  </si>
  <si>
    <t>peak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</si>
</sst>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224-AB19-4E42-B0E0-F45EF28B7D83}">
  <dimension ref="A1:S69"/>
  <sheetViews>
    <sheetView topLeftCell="B1" workbookViewId="0">
      <selection activeCell="K3" sqref="K3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4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174</v>
      </c>
      <c r="I1" t="s">
        <v>23</v>
      </c>
      <c r="J1" t="s">
        <v>20</v>
      </c>
      <c r="K1" t="s">
        <v>19</v>
      </c>
      <c r="L1" t="s">
        <v>21</v>
      </c>
      <c r="M1" t="s">
        <v>186</v>
      </c>
      <c r="N1" t="s">
        <v>49</v>
      </c>
      <c r="O1" t="s">
        <v>58</v>
      </c>
    </row>
    <row r="2" spans="1:19">
      <c r="B2" t="s">
        <v>6</v>
      </c>
      <c r="C2" t="s">
        <v>14</v>
      </c>
      <c r="D2">
        <v>1579.7826</v>
      </c>
      <c r="E2">
        <v>1557.8007</v>
      </c>
      <c r="F2">
        <v>779.404</v>
      </c>
      <c r="G2">
        <f>(E2+1.0073*2)/3</f>
        <v>519.93843333333336</v>
      </c>
      <c r="H2">
        <f t="shared" ref="H2:H69" si="0">(E2+1.0073*3)/4</f>
        <v>390.20564999999999</v>
      </c>
      <c r="I2">
        <v>0</v>
      </c>
      <c r="J2">
        <v>0</v>
      </c>
      <c r="K2">
        <v>10</v>
      </c>
      <c r="L2">
        <v>0</v>
      </c>
      <c r="M2">
        <v>-1</v>
      </c>
      <c r="N2" t="s">
        <v>50</v>
      </c>
      <c r="P2" t="s">
        <v>12</v>
      </c>
      <c r="Q2">
        <f>D2-E2</f>
        <v>21.981899999999996</v>
      </c>
      <c r="R2" t="s">
        <v>13</v>
      </c>
      <c r="S2" s="1">
        <f>F2*2-E2</f>
        <v>1.0072999999999865</v>
      </c>
    </row>
    <row r="3" spans="1:19">
      <c r="B3" t="s">
        <v>7</v>
      </c>
      <c r="C3" t="s">
        <v>15</v>
      </c>
      <c r="D3">
        <f>E3+21.9819</f>
        <v>1783.8823</v>
      </c>
      <c r="E3">
        <v>1761.9004</v>
      </c>
      <c r="F3">
        <f>(E3+1.0073)/2</f>
        <v>881.45384999999999</v>
      </c>
      <c r="G3">
        <f t="shared" ref="G3:G32" si="1">(E3+1.0073*2)/3</f>
        <v>587.97166666666669</v>
      </c>
      <c r="H3">
        <f t="shared" si="0"/>
        <v>441.23057499999999</v>
      </c>
      <c r="I3">
        <v>0</v>
      </c>
      <c r="J3">
        <v>0</v>
      </c>
      <c r="K3" s="9">
        <v>7</v>
      </c>
      <c r="L3">
        <v>0</v>
      </c>
      <c r="M3">
        <v>-1</v>
      </c>
      <c r="N3" t="s">
        <v>50</v>
      </c>
    </row>
    <row r="4" spans="1:19">
      <c r="B4" t="s">
        <v>8</v>
      </c>
      <c r="C4" t="s">
        <v>16</v>
      </c>
      <c r="D4">
        <f t="shared" ref="D4:D32" si="2">E4+21.9819</f>
        <v>1987.9820999999999</v>
      </c>
      <c r="E4">
        <v>1966.0001999999999</v>
      </c>
      <c r="F4">
        <f t="shared" ref="F4:F32" si="3">(E4+1.0073)/2</f>
        <v>983.50374999999997</v>
      </c>
      <c r="G4">
        <f t="shared" si="1"/>
        <v>656.00493333333327</v>
      </c>
      <c r="H4">
        <f t="shared" si="0"/>
        <v>492.25552499999998</v>
      </c>
      <c r="I4">
        <v>0</v>
      </c>
      <c r="J4">
        <v>0</v>
      </c>
      <c r="K4">
        <v>8</v>
      </c>
      <c r="L4">
        <v>0</v>
      </c>
      <c r="M4">
        <v>-1</v>
      </c>
      <c r="N4" t="s">
        <v>50</v>
      </c>
    </row>
    <row r="5" spans="1:19">
      <c r="B5" t="s">
        <v>9</v>
      </c>
      <c r="C5" t="s">
        <v>17</v>
      </c>
      <c r="D5">
        <f t="shared" si="2"/>
        <v>2192.0819000000001</v>
      </c>
      <c r="E5">
        <v>2170.1</v>
      </c>
      <c r="F5">
        <f t="shared" si="3"/>
        <v>1085.5536500000001</v>
      </c>
      <c r="G5">
        <f t="shared" si="1"/>
        <v>724.03819999999996</v>
      </c>
      <c r="H5">
        <f t="shared" si="0"/>
        <v>543.28047500000002</v>
      </c>
      <c r="I5">
        <v>-1</v>
      </c>
      <c r="J5">
        <v>-1</v>
      </c>
      <c r="K5">
        <v>6</v>
      </c>
      <c r="L5">
        <v>0</v>
      </c>
      <c r="M5">
        <v>-1</v>
      </c>
      <c r="N5" t="s">
        <v>50</v>
      </c>
    </row>
    <row r="6" spans="1:19">
      <c r="B6" t="s">
        <v>10</v>
      </c>
      <c r="C6" t="s">
        <v>18</v>
      </c>
      <c r="D6">
        <f t="shared" si="2"/>
        <v>2396.1816000000003</v>
      </c>
      <c r="E6">
        <v>2374.1997000000001</v>
      </c>
      <c r="F6">
        <f t="shared" si="3"/>
        <v>1187.6035000000002</v>
      </c>
      <c r="G6">
        <f t="shared" si="1"/>
        <v>792.0714333333334</v>
      </c>
      <c r="H6">
        <f t="shared" si="0"/>
        <v>594.30540000000008</v>
      </c>
      <c r="I6">
        <v>-1</v>
      </c>
      <c r="J6">
        <v>-1</v>
      </c>
      <c r="K6">
        <v>6</v>
      </c>
      <c r="L6">
        <v>0</v>
      </c>
      <c r="M6">
        <v>-1</v>
      </c>
      <c r="N6" t="s">
        <v>50</v>
      </c>
    </row>
    <row r="7" spans="1:19">
      <c r="A7">
        <v>15</v>
      </c>
      <c r="B7" t="s">
        <v>48</v>
      </c>
      <c r="C7" t="s">
        <v>47</v>
      </c>
      <c r="D7">
        <f t="shared" si="2"/>
        <v>2257.1197000000002</v>
      </c>
      <c r="E7">
        <v>2235.1378</v>
      </c>
      <c r="F7">
        <f t="shared" si="3"/>
        <v>1118.0725500000001</v>
      </c>
      <c r="G7">
        <f t="shared" si="1"/>
        <v>745.71746666666661</v>
      </c>
      <c r="H7">
        <f>(E7+1.0073*3)/4</f>
        <v>559.53992500000004</v>
      </c>
      <c r="I7">
        <v>-1</v>
      </c>
      <c r="J7">
        <v>-1</v>
      </c>
      <c r="K7">
        <v>7</v>
      </c>
      <c r="L7">
        <v>6</v>
      </c>
      <c r="M7">
        <v>-1</v>
      </c>
      <c r="N7" t="s">
        <v>51</v>
      </c>
    </row>
    <row r="8" spans="1:19">
      <c r="B8" t="s">
        <v>54</v>
      </c>
      <c r="C8" t="s">
        <v>53</v>
      </c>
      <c r="D8">
        <f t="shared" si="2"/>
        <v>2227.1091000000001</v>
      </c>
      <c r="E8">
        <v>2205.1271999999999</v>
      </c>
      <c r="F8">
        <f t="shared" si="3"/>
        <v>1103.0672500000001</v>
      </c>
      <c r="G8">
        <f t="shared" si="1"/>
        <v>735.71393333333333</v>
      </c>
      <c r="H8">
        <f t="shared" si="0"/>
        <v>552.03727500000002</v>
      </c>
      <c r="I8">
        <v>-1</v>
      </c>
      <c r="J8">
        <v>-1</v>
      </c>
      <c r="K8">
        <v>3</v>
      </c>
      <c r="L8">
        <v>3</v>
      </c>
      <c r="M8">
        <v>-1</v>
      </c>
      <c r="N8" t="s">
        <v>52</v>
      </c>
    </row>
    <row r="9" spans="1:19">
      <c r="A9">
        <v>24</v>
      </c>
      <c r="B9" t="s">
        <v>48</v>
      </c>
      <c r="C9" t="s">
        <v>56</v>
      </c>
      <c r="D9">
        <f t="shared" si="2"/>
        <v>2461.2194000000004</v>
      </c>
      <c r="E9">
        <v>2439.2375000000002</v>
      </c>
      <c r="F9">
        <f t="shared" si="3"/>
        <v>1220.1224000000002</v>
      </c>
      <c r="G9">
        <f t="shared" si="1"/>
        <v>813.75070000000005</v>
      </c>
      <c r="H9">
        <f t="shared" si="0"/>
        <v>610.56485000000009</v>
      </c>
      <c r="I9">
        <v>-1</v>
      </c>
      <c r="J9">
        <v>-1</v>
      </c>
      <c r="K9">
        <v>10</v>
      </c>
      <c r="L9">
        <v>8</v>
      </c>
      <c r="M9">
        <v>-1</v>
      </c>
      <c r="N9" t="s">
        <v>52</v>
      </c>
      <c r="O9" t="s">
        <v>60</v>
      </c>
    </row>
    <row r="10" spans="1:19">
      <c r="A10" t="s">
        <v>111</v>
      </c>
      <c r="B10" t="s">
        <v>54</v>
      </c>
      <c r="C10" t="s">
        <v>57</v>
      </c>
      <c r="D10">
        <f t="shared" si="2"/>
        <v>2431.2089000000001</v>
      </c>
      <c r="E10">
        <v>2409.2269999999999</v>
      </c>
      <c r="F10">
        <f t="shared" si="3"/>
        <v>1205.11715</v>
      </c>
      <c r="G10">
        <f t="shared" si="1"/>
        <v>803.74719999999991</v>
      </c>
      <c r="H10">
        <f t="shared" si="0"/>
        <v>603.06222500000001</v>
      </c>
      <c r="I10">
        <v>-1</v>
      </c>
      <c r="J10">
        <v>-1</v>
      </c>
      <c r="K10">
        <v>3</v>
      </c>
      <c r="L10">
        <v>10</v>
      </c>
      <c r="M10">
        <v>-1</v>
      </c>
      <c r="N10" t="s">
        <v>52</v>
      </c>
      <c r="O10" t="s">
        <v>59</v>
      </c>
    </row>
    <row r="11" spans="1:19">
      <c r="A11">
        <v>19</v>
      </c>
      <c r="B11" t="s">
        <v>62</v>
      </c>
      <c r="C11" t="s">
        <v>61</v>
      </c>
      <c r="D11">
        <f t="shared" si="2"/>
        <v>2285.1510000000003</v>
      </c>
      <c r="E11">
        <v>2263.1691000000001</v>
      </c>
      <c r="F11">
        <f t="shared" si="3"/>
        <v>1132.0882000000001</v>
      </c>
      <c r="G11">
        <f t="shared" si="1"/>
        <v>755.06123333333335</v>
      </c>
      <c r="H11">
        <f t="shared" si="0"/>
        <v>566.54775000000006</v>
      </c>
      <c r="I11">
        <v>-1</v>
      </c>
      <c r="J11">
        <v>-1</v>
      </c>
      <c r="K11">
        <v>0</v>
      </c>
      <c r="L11">
        <v>0</v>
      </c>
      <c r="M11">
        <v>-1</v>
      </c>
      <c r="N11" t="s">
        <v>51</v>
      </c>
    </row>
    <row r="12" spans="1:19">
      <c r="B12" t="s">
        <v>63</v>
      </c>
      <c r="C12" t="s">
        <v>61</v>
      </c>
      <c r="D12">
        <f t="shared" si="2"/>
        <v>2285.1510000000003</v>
      </c>
      <c r="E12">
        <v>2263.1691000000001</v>
      </c>
      <c r="F12">
        <f t="shared" si="3"/>
        <v>1132.0882000000001</v>
      </c>
      <c r="G12">
        <f t="shared" si="1"/>
        <v>755.06123333333335</v>
      </c>
      <c r="H12">
        <f t="shared" si="0"/>
        <v>566.54775000000006</v>
      </c>
      <c r="I12">
        <v>-1</v>
      </c>
      <c r="J12">
        <v>-1</v>
      </c>
      <c r="K12">
        <v>6</v>
      </c>
      <c r="L12">
        <v>0</v>
      </c>
      <c r="M12">
        <v>-1</v>
      </c>
      <c r="N12" t="s">
        <v>64</v>
      </c>
    </row>
    <row r="13" spans="1:19">
      <c r="A13">
        <v>42</v>
      </c>
      <c r="B13" t="s">
        <v>67</v>
      </c>
      <c r="C13" t="s">
        <v>66</v>
      </c>
      <c r="D13">
        <f t="shared" si="2"/>
        <v>2663.3399000000004</v>
      </c>
      <c r="E13">
        <v>2641.3580000000002</v>
      </c>
      <c r="F13">
        <f t="shared" si="3"/>
        <v>1321.1826500000002</v>
      </c>
      <c r="G13">
        <f t="shared" si="1"/>
        <v>881.12420000000009</v>
      </c>
      <c r="H13">
        <f t="shared" si="0"/>
        <v>661.09497500000009</v>
      </c>
      <c r="I13">
        <v>-1</v>
      </c>
      <c r="J13">
        <v>-1</v>
      </c>
      <c r="K13">
        <v>6</v>
      </c>
      <c r="L13">
        <v>3</v>
      </c>
      <c r="M13">
        <v>-1</v>
      </c>
      <c r="N13" t="s">
        <v>51</v>
      </c>
    </row>
    <row r="14" spans="1:19">
      <c r="A14">
        <v>58</v>
      </c>
      <c r="B14" t="s">
        <v>72</v>
      </c>
      <c r="C14" t="s">
        <v>68</v>
      </c>
      <c r="D14">
        <f t="shared" si="2"/>
        <v>2904.4462000000003</v>
      </c>
      <c r="E14">
        <v>2882.4643000000001</v>
      </c>
      <c r="F14">
        <f t="shared" si="3"/>
        <v>1441.7358000000002</v>
      </c>
      <c r="G14">
        <f t="shared" si="1"/>
        <v>961.49296666666669</v>
      </c>
      <c r="H14">
        <f t="shared" si="0"/>
        <v>721.37155000000007</v>
      </c>
      <c r="I14">
        <v>-1</v>
      </c>
      <c r="J14">
        <v>-1</v>
      </c>
      <c r="K14">
        <v>6</v>
      </c>
      <c r="L14">
        <v>8</v>
      </c>
      <c r="M14">
        <v>-1</v>
      </c>
      <c r="N14" t="s">
        <v>51</v>
      </c>
    </row>
    <row r="15" spans="1:19">
      <c r="A15">
        <v>59</v>
      </c>
      <c r="B15" t="s">
        <v>71</v>
      </c>
      <c r="C15" t="s">
        <v>69</v>
      </c>
      <c r="D15">
        <f t="shared" si="2"/>
        <v>2934.4568000000004</v>
      </c>
      <c r="E15">
        <v>2912.4749000000002</v>
      </c>
      <c r="F15">
        <f t="shared" si="3"/>
        <v>1456.7411000000002</v>
      </c>
      <c r="G15">
        <f t="shared" si="1"/>
        <v>971.49650000000008</v>
      </c>
      <c r="H15">
        <f t="shared" si="0"/>
        <v>728.87420000000009</v>
      </c>
      <c r="I15">
        <v>-1</v>
      </c>
      <c r="J15">
        <v>-1</v>
      </c>
      <c r="K15">
        <v>7</v>
      </c>
      <c r="L15">
        <v>10</v>
      </c>
      <c r="M15">
        <v>-1</v>
      </c>
      <c r="N15" t="s">
        <v>51</v>
      </c>
    </row>
    <row r="16" spans="1:19">
      <c r="B16" t="s">
        <v>70</v>
      </c>
      <c r="C16" t="s">
        <v>73</v>
      </c>
      <c r="D16">
        <f t="shared" si="2"/>
        <v>2874.4356000000002</v>
      </c>
      <c r="E16">
        <v>2852.4537</v>
      </c>
      <c r="F16">
        <f t="shared" si="3"/>
        <v>1426.7305000000001</v>
      </c>
      <c r="G16">
        <f t="shared" si="1"/>
        <v>951.4894333333333</v>
      </c>
      <c r="H16">
        <f t="shared" si="0"/>
        <v>713.86890000000005</v>
      </c>
      <c r="I16">
        <v>-1</v>
      </c>
      <c r="J16">
        <v>-1</v>
      </c>
      <c r="K16">
        <v>2</v>
      </c>
      <c r="L16">
        <v>4</v>
      </c>
      <c r="M16">
        <v>-1</v>
      </c>
      <c r="N16" t="s">
        <v>52</v>
      </c>
    </row>
    <row r="17" spans="1:15">
      <c r="A17">
        <v>77</v>
      </c>
      <c r="B17" t="s">
        <v>75</v>
      </c>
      <c r="C17" t="s">
        <v>74</v>
      </c>
      <c r="D17">
        <f t="shared" si="2"/>
        <v>3187.5868</v>
      </c>
      <c r="E17">
        <v>3165.6048999999998</v>
      </c>
      <c r="F17">
        <f t="shared" si="3"/>
        <v>1583.3061</v>
      </c>
      <c r="G17">
        <f t="shared" si="1"/>
        <v>1055.8731666666665</v>
      </c>
      <c r="H17">
        <f t="shared" si="0"/>
        <v>792.1567</v>
      </c>
      <c r="I17">
        <v>-1</v>
      </c>
      <c r="J17">
        <v>-1</v>
      </c>
      <c r="K17">
        <v>4</v>
      </c>
      <c r="L17">
        <v>6</v>
      </c>
      <c r="M17">
        <v>-1</v>
      </c>
      <c r="N17" t="s">
        <v>51</v>
      </c>
    </row>
    <row r="18" spans="1:15">
      <c r="A18">
        <v>81</v>
      </c>
      <c r="B18" t="s">
        <v>75</v>
      </c>
      <c r="C18" t="s">
        <v>76</v>
      </c>
      <c r="D18">
        <f t="shared" si="2"/>
        <v>3217.5974000000001</v>
      </c>
      <c r="E18">
        <v>3195.6154999999999</v>
      </c>
      <c r="F18">
        <f t="shared" si="3"/>
        <v>1598.3114</v>
      </c>
      <c r="G18">
        <f t="shared" si="1"/>
        <v>1065.8767</v>
      </c>
      <c r="H18">
        <f t="shared" si="0"/>
        <v>799.65935000000002</v>
      </c>
      <c r="I18">
        <v>-1</v>
      </c>
      <c r="J18">
        <v>-1</v>
      </c>
      <c r="K18">
        <v>4</v>
      </c>
      <c r="L18">
        <v>1</v>
      </c>
      <c r="M18">
        <v>-1</v>
      </c>
      <c r="N18" t="s">
        <v>51</v>
      </c>
    </row>
    <row r="19" spans="1:15">
      <c r="A19">
        <v>85</v>
      </c>
      <c r="B19" t="s">
        <v>67</v>
      </c>
      <c r="C19" t="s">
        <v>77</v>
      </c>
      <c r="D19">
        <f t="shared" si="2"/>
        <v>3245.6287000000002</v>
      </c>
      <c r="E19">
        <v>3223.6468</v>
      </c>
      <c r="F19">
        <f t="shared" si="3"/>
        <v>1612.3270500000001</v>
      </c>
      <c r="G19">
        <f t="shared" si="1"/>
        <v>1075.2204666666667</v>
      </c>
      <c r="H19">
        <f t="shared" si="0"/>
        <v>806.66717500000004</v>
      </c>
      <c r="I19">
        <v>-1</v>
      </c>
      <c r="J19">
        <v>-1</v>
      </c>
      <c r="K19">
        <v>5</v>
      </c>
      <c r="L19">
        <v>8</v>
      </c>
      <c r="M19">
        <v>-1</v>
      </c>
      <c r="N19" t="s">
        <v>51</v>
      </c>
      <c r="O19" t="s">
        <v>78</v>
      </c>
    </row>
    <row r="20" spans="1:15">
      <c r="A20">
        <v>89</v>
      </c>
      <c r="B20" t="s">
        <v>75</v>
      </c>
      <c r="C20" t="s">
        <v>79</v>
      </c>
      <c r="D20">
        <f t="shared" si="2"/>
        <v>3548.7605000000003</v>
      </c>
      <c r="E20">
        <v>3526.7786000000001</v>
      </c>
      <c r="F20">
        <f t="shared" si="3"/>
        <v>1763.8929500000002</v>
      </c>
      <c r="G20">
        <f t="shared" si="1"/>
        <v>1176.2644</v>
      </c>
      <c r="H20">
        <f t="shared" si="0"/>
        <v>882.45012500000007</v>
      </c>
      <c r="I20">
        <v>-1</v>
      </c>
      <c r="J20">
        <v>-1</v>
      </c>
      <c r="K20">
        <v>9</v>
      </c>
      <c r="L20">
        <v>5</v>
      </c>
      <c r="M20">
        <v>-1</v>
      </c>
      <c r="N20" t="s">
        <v>51</v>
      </c>
    </row>
    <row r="21" spans="1:15">
      <c r="A21">
        <v>90</v>
      </c>
      <c r="B21" t="s">
        <v>75</v>
      </c>
      <c r="C21" t="s">
        <v>80</v>
      </c>
      <c r="D21">
        <f t="shared" si="2"/>
        <v>3578.7711000000004</v>
      </c>
      <c r="E21">
        <v>3556.7892000000002</v>
      </c>
      <c r="F21">
        <f t="shared" si="3"/>
        <v>1778.8982500000002</v>
      </c>
      <c r="G21">
        <f t="shared" si="1"/>
        <v>1186.2679333333333</v>
      </c>
      <c r="H21">
        <f t="shared" si="0"/>
        <v>889.95277500000009</v>
      </c>
      <c r="I21">
        <v>-1</v>
      </c>
      <c r="J21">
        <v>-1</v>
      </c>
      <c r="K21">
        <v>2</v>
      </c>
      <c r="L21">
        <v>0</v>
      </c>
      <c r="M21">
        <v>-1</v>
      </c>
      <c r="N21" t="s">
        <v>51</v>
      </c>
    </row>
    <row r="22" spans="1:15">
      <c r="A22">
        <v>91</v>
      </c>
      <c r="B22" t="s">
        <v>75</v>
      </c>
      <c r="C22" s="5" t="s">
        <v>81</v>
      </c>
      <c r="D22">
        <f t="shared" si="2"/>
        <v>3608.7816000000003</v>
      </c>
      <c r="E22">
        <v>3586.7997</v>
      </c>
      <c r="F22">
        <f t="shared" si="3"/>
        <v>1793.9035000000001</v>
      </c>
      <c r="G22">
        <f t="shared" si="1"/>
        <v>1196.2714333333333</v>
      </c>
      <c r="H22">
        <f t="shared" si="0"/>
        <v>897.45540000000005</v>
      </c>
      <c r="I22">
        <v>-1</v>
      </c>
      <c r="J22">
        <v>-1</v>
      </c>
      <c r="K22">
        <v>7</v>
      </c>
      <c r="L22">
        <v>1</v>
      </c>
      <c r="M22">
        <v>-1</v>
      </c>
      <c r="N22" t="s">
        <v>51</v>
      </c>
    </row>
    <row r="23" spans="1:15">
      <c r="A23">
        <v>26</v>
      </c>
      <c r="B23" t="s">
        <v>83</v>
      </c>
      <c r="C23" t="s">
        <v>82</v>
      </c>
      <c r="D23">
        <f t="shared" si="2"/>
        <v>2489.2507000000001</v>
      </c>
      <c r="E23">
        <v>2467.2687999999998</v>
      </c>
      <c r="F23">
        <f t="shared" si="3"/>
        <v>1234.13805</v>
      </c>
      <c r="G23">
        <f t="shared" si="1"/>
        <v>823.09446666666656</v>
      </c>
      <c r="H23">
        <f t="shared" si="0"/>
        <v>617.572675</v>
      </c>
      <c r="I23">
        <v>-1</v>
      </c>
      <c r="J23">
        <v>-1</v>
      </c>
      <c r="K23">
        <v>6</v>
      </c>
      <c r="L23">
        <v>3</v>
      </c>
      <c r="M23">
        <v>-1</v>
      </c>
      <c r="N23" t="s">
        <v>84</v>
      </c>
    </row>
    <row r="24" spans="1:15">
      <c r="A24">
        <v>1</v>
      </c>
      <c r="B24" t="s">
        <v>87</v>
      </c>
      <c r="C24" t="s">
        <v>85</v>
      </c>
      <c r="D24">
        <f t="shared" si="2"/>
        <v>1661.8357000000001</v>
      </c>
      <c r="E24">
        <v>1639.8538000000001</v>
      </c>
      <c r="F24">
        <f t="shared" si="3"/>
        <v>820.43055000000004</v>
      </c>
      <c r="G24">
        <f t="shared" si="1"/>
        <v>547.28946666666673</v>
      </c>
      <c r="H24">
        <f t="shared" si="0"/>
        <v>410.71892500000001</v>
      </c>
      <c r="I24">
        <v>0</v>
      </c>
      <c r="J24">
        <v>0</v>
      </c>
      <c r="K24">
        <v>8</v>
      </c>
      <c r="L24">
        <v>0</v>
      </c>
      <c r="M24">
        <v>-1</v>
      </c>
      <c r="N24" t="s">
        <v>84</v>
      </c>
    </row>
    <row r="25" spans="1:15">
      <c r="B25" t="s">
        <v>88</v>
      </c>
      <c r="C25" t="s">
        <v>86</v>
      </c>
      <c r="D25">
        <f t="shared" si="2"/>
        <v>1906.962</v>
      </c>
      <c r="E25">
        <v>1884.9801</v>
      </c>
      <c r="F25">
        <f t="shared" si="3"/>
        <v>942.99369999999999</v>
      </c>
      <c r="G25">
        <f t="shared" si="1"/>
        <v>628.99823333333336</v>
      </c>
      <c r="H25">
        <f t="shared" si="0"/>
        <v>472.00049999999999</v>
      </c>
      <c r="I25">
        <v>0</v>
      </c>
      <c r="J25">
        <v>0</v>
      </c>
      <c r="K25">
        <v>13</v>
      </c>
      <c r="L25">
        <v>0</v>
      </c>
      <c r="M25">
        <v>-1</v>
      </c>
      <c r="N25" t="s">
        <v>84</v>
      </c>
    </row>
    <row r="26" spans="1:15">
      <c r="A26" t="s">
        <v>163</v>
      </c>
      <c r="B26" t="s">
        <v>90</v>
      </c>
      <c r="C26" t="s">
        <v>89</v>
      </c>
      <c r="D26">
        <f t="shared" si="2"/>
        <v>3228.6134000000002</v>
      </c>
      <c r="E26">
        <v>3206.6315</v>
      </c>
      <c r="F26">
        <f t="shared" si="3"/>
        <v>1603.8194000000001</v>
      </c>
      <c r="G26">
        <f t="shared" si="1"/>
        <v>1069.5487000000001</v>
      </c>
      <c r="H26">
        <f t="shared" si="0"/>
        <v>802.41335000000004</v>
      </c>
      <c r="I26">
        <v>-1</v>
      </c>
      <c r="J26">
        <v>-1</v>
      </c>
      <c r="K26">
        <v>0</v>
      </c>
      <c r="L26">
        <v>1</v>
      </c>
      <c r="M26">
        <v>-1</v>
      </c>
      <c r="N26" t="s">
        <v>84</v>
      </c>
    </row>
    <row r="27" spans="1:15">
      <c r="A27">
        <v>2</v>
      </c>
      <c r="B27" t="s">
        <v>93</v>
      </c>
      <c r="C27" t="s">
        <v>91</v>
      </c>
      <c r="D27">
        <f t="shared" si="2"/>
        <v>1824.9088999999999</v>
      </c>
      <c r="E27">
        <v>1802.9269999999999</v>
      </c>
      <c r="F27">
        <f t="shared" si="3"/>
        <v>901.96714999999995</v>
      </c>
      <c r="G27">
        <f t="shared" si="1"/>
        <v>601.6472</v>
      </c>
      <c r="H27">
        <f t="shared" si="0"/>
        <v>451.48722499999997</v>
      </c>
      <c r="I27">
        <v>0</v>
      </c>
      <c r="J27">
        <v>0</v>
      </c>
      <c r="K27">
        <v>1</v>
      </c>
      <c r="L27">
        <v>0</v>
      </c>
      <c r="M27">
        <v>-1</v>
      </c>
      <c r="N27" t="s">
        <v>51</v>
      </c>
      <c r="O27" t="s">
        <v>92</v>
      </c>
    </row>
    <row r="28" spans="1:15">
      <c r="A28">
        <v>4</v>
      </c>
      <c r="B28" t="s">
        <v>95</v>
      </c>
      <c r="C28" t="s">
        <v>94</v>
      </c>
      <c r="D28">
        <f t="shared" si="2"/>
        <v>1835.9249</v>
      </c>
      <c r="E28">
        <v>1813.943</v>
      </c>
      <c r="F28">
        <f t="shared" si="3"/>
        <v>907.47514999999999</v>
      </c>
      <c r="G28">
        <f t="shared" si="1"/>
        <v>605.31920000000002</v>
      </c>
      <c r="H28">
        <f t="shared" si="0"/>
        <v>454.24122499999999</v>
      </c>
      <c r="I28">
        <v>0</v>
      </c>
      <c r="J28">
        <v>0</v>
      </c>
      <c r="K28">
        <v>3</v>
      </c>
      <c r="L28">
        <v>0</v>
      </c>
      <c r="M28">
        <v>-1</v>
      </c>
      <c r="N28" t="s">
        <v>51</v>
      </c>
      <c r="O28" t="s">
        <v>92</v>
      </c>
    </row>
    <row r="29" spans="1:15">
      <c r="A29">
        <v>5</v>
      </c>
      <c r="B29" t="s">
        <v>96</v>
      </c>
      <c r="C29" t="s">
        <v>97</v>
      </c>
      <c r="D29">
        <f t="shared" si="2"/>
        <v>1865.9354000000001</v>
      </c>
      <c r="E29">
        <v>1843.9535000000001</v>
      </c>
      <c r="F29">
        <f t="shared" si="3"/>
        <v>922.48040000000003</v>
      </c>
      <c r="G29">
        <f t="shared" si="1"/>
        <v>615.32270000000005</v>
      </c>
      <c r="H29">
        <f t="shared" si="0"/>
        <v>461.74385000000001</v>
      </c>
      <c r="I29">
        <v>0</v>
      </c>
      <c r="J29">
        <v>0</v>
      </c>
      <c r="K29">
        <v>1</v>
      </c>
      <c r="L29">
        <v>0</v>
      </c>
      <c r="M29">
        <v>-1</v>
      </c>
      <c r="O29" t="s">
        <v>92</v>
      </c>
    </row>
    <row r="30" spans="1:15">
      <c r="A30" t="s">
        <v>98</v>
      </c>
      <c r="B30" t="s">
        <v>93</v>
      </c>
      <c r="C30" t="s">
        <v>99</v>
      </c>
      <c r="D30">
        <f t="shared" si="2"/>
        <v>2029.0087000000001</v>
      </c>
      <c r="E30">
        <v>2007.0268000000001</v>
      </c>
      <c r="F30">
        <f t="shared" si="3"/>
        <v>1004.01705</v>
      </c>
      <c r="G30">
        <f t="shared" si="1"/>
        <v>669.68046666666669</v>
      </c>
      <c r="H30">
        <f t="shared" si="0"/>
        <v>502.51217500000001</v>
      </c>
      <c r="I30">
        <v>-1</v>
      </c>
      <c r="J30">
        <v>-1</v>
      </c>
      <c r="K30">
        <v>0</v>
      </c>
      <c r="L30">
        <v>0</v>
      </c>
      <c r="M30">
        <v>-1</v>
      </c>
      <c r="N30" t="s">
        <v>51</v>
      </c>
      <c r="O30" t="s">
        <v>92</v>
      </c>
    </row>
    <row r="31" spans="1:15">
      <c r="A31">
        <v>8</v>
      </c>
      <c r="B31" t="s">
        <v>95</v>
      </c>
      <c r="C31" t="s">
        <v>100</v>
      </c>
      <c r="D31">
        <f t="shared" si="2"/>
        <v>2040.0246</v>
      </c>
      <c r="E31">
        <v>2018.0427</v>
      </c>
      <c r="F31">
        <f t="shared" si="3"/>
        <v>1009.525</v>
      </c>
      <c r="G31">
        <f t="shared" si="1"/>
        <v>673.35243333333335</v>
      </c>
      <c r="H31">
        <f t="shared" si="0"/>
        <v>505.26614999999998</v>
      </c>
      <c r="I31">
        <v>-1</v>
      </c>
      <c r="J31">
        <v>-1</v>
      </c>
      <c r="K31">
        <v>0</v>
      </c>
      <c r="L31">
        <v>0</v>
      </c>
      <c r="M31">
        <v>-1</v>
      </c>
      <c r="N31" t="s">
        <v>51</v>
      </c>
      <c r="O31" t="s">
        <v>103</v>
      </c>
    </row>
    <row r="32" spans="1:15">
      <c r="A32" t="s">
        <v>102</v>
      </c>
      <c r="B32" t="s">
        <v>95</v>
      </c>
      <c r="C32" t="s">
        <v>101</v>
      </c>
      <c r="D32">
        <f t="shared" si="2"/>
        <v>2070.0352000000003</v>
      </c>
      <c r="E32">
        <v>2048.0533</v>
      </c>
      <c r="F32">
        <f t="shared" si="3"/>
        <v>1024.5303000000001</v>
      </c>
      <c r="G32">
        <f t="shared" si="1"/>
        <v>683.35596666666663</v>
      </c>
      <c r="H32">
        <f t="shared" si="0"/>
        <v>512.76880000000006</v>
      </c>
      <c r="I32">
        <v>-1</v>
      </c>
      <c r="J32">
        <v>-1</v>
      </c>
      <c r="K32">
        <v>2</v>
      </c>
      <c r="L32">
        <v>0</v>
      </c>
      <c r="M32">
        <v>-1</v>
      </c>
      <c r="N32" t="s">
        <v>51</v>
      </c>
      <c r="O32" t="s">
        <v>92</v>
      </c>
    </row>
    <row r="33" spans="1:15">
      <c r="A33">
        <v>12</v>
      </c>
      <c r="B33" t="s">
        <v>107</v>
      </c>
      <c r="C33" t="s">
        <v>106</v>
      </c>
      <c r="D33">
        <f t="shared" ref="D33:D37" si="4">E33+21.9819</f>
        <v>2081.0512000000003</v>
      </c>
      <c r="E33">
        <v>2059.0693000000001</v>
      </c>
      <c r="F33">
        <f t="shared" ref="F33:F37" si="5">(E33+1.0073)/2</f>
        <v>1030.0383000000002</v>
      </c>
      <c r="G33">
        <f t="shared" ref="G33:G37" si="6">(E33+1.0073*2)/3</f>
        <v>687.02796666666666</v>
      </c>
      <c r="H33">
        <f t="shared" si="0"/>
        <v>515.52280000000007</v>
      </c>
      <c r="I33">
        <v>-1</v>
      </c>
      <c r="J33">
        <v>-1</v>
      </c>
      <c r="K33">
        <v>5</v>
      </c>
      <c r="L33">
        <v>1</v>
      </c>
      <c r="M33">
        <v>-1</v>
      </c>
      <c r="N33" t="s">
        <v>51</v>
      </c>
      <c r="O33" t="s">
        <v>92</v>
      </c>
    </row>
    <row r="34" spans="1:15">
      <c r="A34" t="s">
        <v>109</v>
      </c>
      <c r="B34" t="s">
        <v>95</v>
      </c>
      <c r="C34" t="s">
        <v>108</v>
      </c>
      <c r="D34">
        <f t="shared" si="4"/>
        <v>2244.1244000000002</v>
      </c>
      <c r="E34">
        <v>2222.1424999999999</v>
      </c>
      <c r="F34">
        <f t="shared" si="5"/>
        <v>1111.5749000000001</v>
      </c>
      <c r="G34">
        <f t="shared" si="6"/>
        <v>741.38569999999993</v>
      </c>
      <c r="H34">
        <f t="shared" si="0"/>
        <v>556.29110000000003</v>
      </c>
      <c r="I34">
        <v>-1</v>
      </c>
      <c r="J34">
        <v>-1</v>
      </c>
      <c r="K34">
        <v>0</v>
      </c>
      <c r="L34">
        <v>0</v>
      </c>
      <c r="M34">
        <v>-1</v>
      </c>
      <c r="N34" t="s">
        <v>51</v>
      </c>
      <c r="O34" t="s">
        <v>110</v>
      </c>
    </row>
    <row r="35" spans="1:15">
      <c r="A35" t="s">
        <v>113</v>
      </c>
      <c r="B35" t="s">
        <v>114</v>
      </c>
      <c r="C35" t="s">
        <v>112</v>
      </c>
      <c r="D35">
        <f t="shared" si="4"/>
        <v>2448.2242000000001</v>
      </c>
      <c r="E35">
        <v>2426.2422999999999</v>
      </c>
      <c r="F35">
        <f t="shared" si="5"/>
        <v>1213.6248000000001</v>
      </c>
      <c r="G35">
        <f t="shared" si="6"/>
        <v>809.41896666666662</v>
      </c>
      <c r="H35">
        <f t="shared" si="0"/>
        <v>607.31605000000002</v>
      </c>
      <c r="I35">
        <v>-1</v>
      </c>
      <c r="J35">
        <v>-1</v>
      </c>
      <c r="K35">
        <v>0</v>
      </c>
      <c r="L35">
        <v>0</v>
      </c>
      <c r="M35">
        <v>-1</v>
      </c>
      <c r="N35" t="s">
        <v>51</v>
      </c>
      <c r="O35" t="s">
        <v>110</v>
      </c>
    </row>
    <row r="36" spans="1:15">
      <c r="A36">
        <v>23</v>
      </c>
      <c r="B36" t="s">
        <v>116</v>
      </c>
      <c r="C36" t="s">
        <v>115</v>
      </c>
      <c r="D36">
        <f t="shared" si="4"/>
        <v>2459.2402000000002</v>
      </c>
      <c r="E36">
        <v>2437.2583</v>
      </c>
      <c r="F36">
        <f t="shared" si="5"/>
        <v>1219.1328000000001</v>
      </c>
      <c r="G36">
        <f t="shared" si="6"/>
        <v>813.09096666666665</v>
      </c>
      <c r="H36">
        <f t="shared" si="0"/>
        <v>610.07005000000004</v>
      </c>
      <c r="I36">
        <v>-1</v>
      </c>
      <c r="J36">
        <v>-1</v>
      </c>
      <c r="K36">
        <v>0</v>
      </c>
      <c r="L36">
        <v>0</v>
      </c>
      <c r="M36">
        <v>-1</v>
      </c>
      <c r="N36" t="s">
        <v>51</v>
      </c>
      <c r="O36" t="s">
        <v>110</v>
      </c>
    </row>
    <row r="37" spans="1:15">
      <c r="A37" t="s">
        <v>118</v>
      </c>
      <c r="B37" t="s">
        <v>124</v>
      </c>
      <c r="C37" t="s">
        <v>117</v>
      </c>
      <c r="D37">
        <f t="shared" si="4"/>
        <v>2605.2981000000004</v>
      </c>
      <c r="E37">
        <v>2583.3162000000002</v>
      </c>
      <c r="F37">
        <f t="shared" si="5"/>
        <v>1292.1617500000002</v>
      </c>
      <c r="G37">
        <f t="shared" si="6"/>
        <v>861.77693333333343</v>
      </c>
      <c r="H37">
        <f t="shared" si="0"/>
        <v>646.5845250000001</v>
      </c>
      <c r="I37">
        <v>-1</v>
      </c>
      <c r="J37">
        <v>-1</v>
      </c>
      <c r="K37">
        <v>2</v>
      </c>
      <c r="L37">
        <v>4</v>
      </c>
      <c r="M37">
        <v>-1</v>
      </c>
      <c r="N37" t="s">
        <v>51</v>
      </c>
      <c r="O37" t="s">
        <v>119</v>
      </c>
    </row>
    <row r="38" spans="1:15">
      <c r="A38" t="s">
        <v>121</v>
      </c>
      <c r="C38" t="s">
        <v>120</v>
      </c>
      <c r="D38">
        <f t="shared" ref="D38:D40" si="7">E38+21.9819</f>
        <v>2622.3134</v>
      </c>
      <c r="E38">
        <v>2600.3314999999998</v>
      </c>
      <c r="F38">
        <f t="shared" ref="F38:F40" si="8">(E38+1.0073)/2</f>
        <v>1300.6694</v>
      </c>
      <c r="G38">
        <f t="shared" ref="G38:G40" si="9">(E38+1.0073*2)/3</f>
        <v>867.44869999999992</v>
      </c>
      <c r="H38">
        <f t="shared" si="0"/>
        <v>650.83834999999999</v>
      </c>
      <c r="I38">
        <v>-1</v>
      </c>
      <c r="J38">
        <v>-1</v>
      </c>
      <c r="K38">
        <v>0</v>
      </c>
      <c r="L38">
        <v>0</v>
      </c>
      <c r="M38">
        <v>-1</v>
      </c>
      <c r="N38" t="s">
        <v>51</v>
      </c>
    </row>
    <row r="39" spans="1:15">
      <c r="A39" t="s">
        <v>125</v>
      </c>
      <c r="B39" t="s">
        <v>124</v>
      </c>
      <c r="C39" t="s">
        <v>122</v>
      </c>
      <c r="D39">
        <f t="shared" si="7"/>
        <v>2635.3086000000003</v>
      </c>
      <c r="E39">
        <v>2613.3267000000001</v>
      </c>
      <c r="F39">
        <f t="shared" si="8"/>
        <v>1307.1670000000001</v>
      </c>
      <c r="G39">
        <f t="shared" si="9"/>
        <v>871.78043333333335</v>
      </c>
      <c r="H39">
        <f t="shared" si="0"/>
        <v>654.08715000000007</v>
      </c>
      <c r="I39">
        <v>-1</v>
      </c>
      <c r="J39">
        <v>-1</v>
      </c>
      <c r="K39">
        <v>0</v>
      </c>
      <c r="L39">
        <v>0</v>
      </c>
      <c r="M39">
        <v>-1</v>
      </c>
      <c r="N39" t="s">
        <v>51</v>
      </c>
    </row>
    <row r="40" spans="1:15">
      <c r="A40" t="s">
        <v>126</v>
      </c>
      <c r="B40" t="s">
        <v>124</v>
      </c>
      <c r="C40" t="s">
        <v>123</v>
      </c>
      <c r="D40">
        <f t="shared" si="7"/>
        <v>2635.3086000000003</v>
      </c>
      <c r="E40">
        <v>2613.3267000000001</v>
      </c>
      <c r="F40">
        <f t="shared" si="8"/>
        <v>1307.1670000000001</v>
      </c>
      <c r="G40">
        <f t="shared" si="9"/>
        <v>871.78043333333335</v>
      </c>
      <c r="H40">
        <f t="shared" si="0"/>
        <v>654.08715000000007</v>
      </c>
      <c r="I40">
        <v>-1</v>
      </c>
      <c r="J40">
        <v>-1</v>
      </c>
      <c r="K40">
        <v>1</v>
      </c>
      <c r="L40">
        <v>1</v>
      </c>
      <c r="M40">
        <v>-1</v>
      </c>
      <c r="N40" t="s">
        <v>51</v>
      </c>
      <c r="O40" t="s">
        <v>175</v>
      </c>
    </row>
    <row r="41" spans="1:15">
      <c r="A41" t="s">
        <v>128</v>
      </c>
      <c r="B41" t="s">
        <v>173</v>
      </c>
      <c r="C41" t="s">
        <v>127</v>
      </c>
      <c r="D41">
        <f t="shared" ref="D41:D44" si="10">E41+21.9819</f>
        <v>2693.3505</v>
      </c>
      <c r="E41">
        <v>2671.3685999999998</v>
      </c>
      <c r="F41">
        <f t="shared" ref="F41:F44" si="11">(E41+1.0073)/2</f>
        <v>1336.18795</v>
      </c>
      <c r="G41">
        <f t="shared" ref="G41:G44" si="12">(E41+1.0073*2)/3</f>
        <v>891.12773333333325</v>
      </c>
      <c r="H41">
        <f t="shared" si="0"/>
        <v>668.59762499999999</v>
      </c>
      <c r="I41">
        <v>-1</v>
      </c>
      <c r="J41">
        <v>-1</v>
      </c>
      <c r="K41">
        <v>0</v>
      </c>
      <c r="L41">
        <v>0</v>
      </c>
      <c r="M41">
        <v>-1</v>
      </c>
      <c r="N41" t="s">
        <v>51</v>
      </c>
      <c r="O41" t="s">
        <v>110</v>
      </c>
    </row>
    <row r="42" spans="1:15">
      <c r="A42" t="s">
        <v>130</v>
      </c>
      <c r="B42" t="s">
        <v>124</v>
      </c>
      <c r="C42" t="s">
        <v>129</v>
      </c>
      <c r="D42">
        <f t="shared" si="10"/>
        <v>2809.3978000000002</v>
      </c>
      <c r="E42">
        <v>2787.4159</v>
      </c>
      <c r="F42">
        <f t="shared" si="11"/>
        <v>1394.2116000000001</v>
      </c>
      <c r="G42">
        <f t="shared" si="12"/>
        <v>929.81016666666665</v>
      </c>
      <c r="H42">
        <f t="shared" si="0"/>
        <v>697.60945000000004</v>
      </c>
      <c r="I42">
        <v>-1</v>
      </c>
      <c r="J42">
        <v>-1</v>
      </c>
      <c r="K42">
        <v>0</v>
      </c>
      <c r="L42">
        <v>0</v>
      </c>
      <c r="M42">
        <v>-1</v>
      </c>
      <c r="N42" t="s">
        <v>51</v>
      </c>
    </row>
    <row r="43" spans="1:15">
      <c r="A43" t="s">
        <v>132</v>
      </c>
      <c r="B43" t="s">
        <v>133</v>
      </c>
      <c r="C43" t="s">
        <v>131</v>
      </c>
      <c r="D43">
        <f t="shared" si="10"/>
        <v>2809.3978000000002</v>
      </c>
      <c r="E43">
        <v>2787.4159</v>
      </c>
      <c r="F43">
        <f t="shared" si="11"/>
        <v>1394.2116000000001</v>
      </c>
      <c r="G43">
        <f t="shared" si="12"/>
        <v>929.81016666666665</v>
      </c>
      <c r="H43">
        <f t="shared" si="0"/>
        <v>697.60945000000004</v>
      </c>
      <c r="I43">
        <v>-1</v>
      </c>
      <c r="J43">
        <v>-1</v>
      </c>
      <c r="K43">
        <v>0</v>
      </c>
      <c r="L43">
        <v>0</v>
      </c>
      <c r="M43">
        <v>-1</v>
      </c>
      <c r="N43" t="s">
        <v>51</v>
      </c>
    </row>
    <row r="44" spans="1:15">
      <c r="A44">
        <v>52</v>
      </c>
      <c r="B44" t="s">
        <v>135</v>
      </c>
      <c r="C44" t="s">
        <v>134</v>
      </c>
      <c r="D44">
        <f t="shared" si="10"/>
        <v>2826.4132000000004</v>
      </c>
      <c r="E44">
        <v>2804.4313000000002</v>
      </c>
      <c r="F44">
        <f t="shared" si="11"/>
        <v>1402.7193000000002</v>
      </c>
      <c r="G44">
        <f t="shared" si="12"/>
        <v>935.48196666666672</v>
      </c>
      <c r="H44">
        <f t="shared" si="0"/>
        <v>701.86330000000009</v>
      </c>
      <c r="I44">
        <v>-1</v>
      </c>
      <c r="J44">
        <v>-1</v>
      </c>
      <c r="K44">
        <v>0</v>
      </c>
      <c r="L44">
        <v>0</v>
      </c>
      <c r="M44">
        <v>-1</v>
      </c>
      <c r="N44" t="s">
        <v>51</v>
      </c>
      <c r="O44" t="s">
        <v>176</v>
      </c>
    </row>
    <row r="45" spans="1:15">
      <c r="A45">
        <v>53</v>
      </c>
      <c r="B45" t="s">
        <v>137</v>
      </c>
      <c r="C45" t="s">
        <v>136</v>
      </c>
      <c r="D45">
        <f t="shared" ref="D45:D52" si="13">E45+21.9819</f>
        <v>2850.4244000000003</v>
      </c>
      <c r="E45">
        <v>2828.4425000000001</v>
      </c>
      <c r="F45">
        <f t="shared" ref="F45:F52" si="14">(E45+1.0073)/2</f>
        <v>1414.7249000000002</v>
      </c>
      <c r="G45">
        <f t="shared" ref="G45:G52" si="15">(E45+1.0073*2)/3</f>
        <v>943.48570000000007</v>
      </c>
      <c r="H45">
        <f t="shared" si="0"/>
        <v>707.86610000000007</v>
      </c>
      <c r="I45">
        <v>-1</v>
      </c>
      <c r="J45">
        <v>-1</v>
      </c>
      <c r="K45">
        <v>0</v>
      </c>
      <c r="L45">
        <v>0</v>
      </c>
      <c r="M45">
        <v>-1</v>
      </c>
      <c r="N45" t="s">
        <v>51</v>
      </c>
    </row>
    <row r="46" spans="1:15">
      <c r="A46" t="s">
        <v>138</v>
      </c>
      <c r="C46" t="s">
        <v>139</v>
      </c>
      <c r="D46">
        <f t="shared" si="13"/>
        <v>2850.4244000000003</v>
      </c>
      <c r="E46">
        <v>2828.4425000000001</v>
      </c>
      <c r="F46">
        <f t="shared" si="14"/>
        <v>1414.7249000000002</v>
      </c>
      <c r="G46">
        <f t="shared" si="15"/>
        <v>943.48570000000007</v>
      </c>
      <c r="H46">
        <f t="shared" si="0"/>
        <v>707.86610000000007</v>
      </c>
      <c r="I46">
        <v>-1</v>
      </c>
      <c r="J46">
        <v>-1</v>
      </c>
      <c r="K46">
        <v>0</v>
      </c>
      <c r="L46">
        <v>5</v>
      </c>
      <c r="M46">
        <v>-1</v>
      </c>
      <c r="N46" t="s">
        <v>51</v>
      </c>
      <c r="O46" t="s">
        <v>177</v>
      </c>
    </row>
    <row r="47" spans="1:15">
      <c r="A47">
        <v>57</v>
      </c>
      <c r="B47" t="s">
        <v>135</v>
      </c>
      <c r="C47" t="s">
        <v>140</v>
      </c>
      <c r="D47">
        <f t="shared" si="13"/>
        <v>2867.4397000000004</v>
      </c>
      <c r="E47">
        <v>2845.4578000000001</v>
      </c>
      <c r="F47">
        <f t="shared" si="14"/>
        <v>1423.2325500000002</v>
      </c>
      <c r="G47">
        <f t="shared" si="15"/>
        <v>949.15746666666666</v>
      </c>
      <c r="H47">
        <f>(E47+1.0073*3)/4</f>
        <v>712.11992500000008</v>
      </c>
      <c r="I47">
        <v>-1</v>
      </c>
      <c r="J47">
        <v>-1</v>
      </c>
      <c r="K47">
        <v>1</v>
      </c>
      <c r="L47">
        <v>2</v>
      </c>
      <c r="M47">
        <v>-1</v>
      </c>
      <c r="N47" t="s">
        <v>51</v>
      </c>
      <c r="O47" t="s">
        <v>175</v>
      </c>
    </row>
    <row r="48" spans="1:15">
      <c r="A48">
        <v>60</v>
      </c>
      <c r="C48" t="s">
        <v>141</v>
      </c>
      <c r="D48">
        <f t="shared" si="13"/>
        <v>2966.4717000000001</v>
      </c>
      <c r="E48">
        <v>2944.4897999999998</v>
      </c>
      <c r="F48">
        <f t="shared" si="14"/>
        <v>1472.74855</v>
      </c>
      <c r="G48">
        <f t="shared" si="15"/>
        <v>982.16813333333323</v>
      </c>
      <c r="H48">
        <f t="shared" si="0"/>
        <v>736.877925</v>
      </c>
      <c r="I48">
        <v>-1</v>
      </c>
      <c r="J48">
        <v>-1</v>
      </c>
      <c r="K48">
        <v>0</v>
      </c>
      <c r="L48">
        <v>1</v>
      </c>
      <c r="M48">
        <v>-1</v>
      </c>
      <c r="N48" t="s">
        <v>51</v>
      </c>
      <c r="O48" t="s">
        <v>178</v>
      </c>
    </row>
    <row r="49" spans="1:15">
      <c r="A49">
        <v>61</v>
      </c>
      <c r="B49" t="s">
        <v>145</v>
      </c>
      <c r="C49" t="s">
        <v>144</v>
      </c>
      <c r="D49">
        <f t="shared" si="13"/>
        <v>2983.4871000000003</v>
      </c>
      <c r="E49">
        <v>2961.5052000000001</v>
      </c>
      <c r="F49">
        <f t="shared" si="14"/>
        <v>1481.2562500000001</v>
      </c>
      <c r="G49">
        <f t="shared" si="15"/>
        <v>987.83993333333331</v>
      </c>
      <c r="H49">
        <f t="shared" si="0"/>
        <v>741.13177500000006</v>
      </c>
      <c r="I49">
        <v>-1</v>
      </c>
      <c r="J49">
        <v>-1</v>
      </c>
      <c r="K49">
        <v>0</v>
      </c>
      <c r="L49">
        <v>0</v>
      </c>
      <c r="M49">
        <v>-1</v>
      </c>
      <c r="N49" t="s">
        <v>51</v>
      </c>
    </row>
    <row r="50" spans="1:15">
      <c r="A50" t="s">
        <v>143</v>
      </c>
      <c r="B50" t="s">
        <v>147</v>
      </c>
      <c r="C50" t="s">
        <v>146</v>
      </c>
      <c r="D50">
        <f t="shared" si="13"/>
        <v>2983.4871000000003</v>
      </c>
      <c r="E50">
        <v>2961.5052000000001</v>
      </c>
      <c r="F50">
        <f t="shared" si="14"/>
        <v>1481.2562500000001</v>
      </c>
      <c r="G50">
        <f t="shared" si="15"/>
        <v>987.83993333333331</v>
      </c>
      <c r="H50">
        <f t="shared" si="0"/>
        <v>741.13177500000006</v>
      </c>
      <c r="I50">
        <v>-1</v>
      </c>
      <c r="J50">
        <v>-1</v>
      </c>
      <c r="K50">
        <v>0</v>
      </c>
      <c r="L50">
        <v>0</v>
      </c>
      <c r="M50">
        <v>-1</v>
      </c>
      <c r="N50" t="s">
        <v>51</v>
      </c>
    </row>
    <row r="51" spans="1:15">
      <c r="A51">
        <v>65</v>
      </c>
      <c r="C51" t="s">
        <v>142</v>
      </c>
      <c r="D51">
        <f t="shared" si="13"/>
        <v>2996.4823000000001</v>
      </c>
      <c r="E51">
        <v>2974.5003999999999</v>
      </c>
      <c r="F51">
        <f t="shared" si="14"/>
        <v>1487.7538500000001</v>
      </c>
      <c r="G51">
        <f t="shared" si="15"/>
        <v>992.17166666666662</v>
      </c>
      <c r="H51">
        <f t="shared" si="0"/>
        <v>744.38057500000002</v>
      </c>
      <c r="I51">
        <v>-1</v>
      </c>
      <c r="J51">
        <v>-1</v>
      </c>
      <c r="K51">
        <v>0</v>
      </c>
      <c r="L51">
        <v>0</v>
      </c>
      <c r="M51">
        <v>-1</v>
      </c>
      <c r="N51" t="s">
        <v>51</v>
      </c>
    </row>
    <row r="52" spans="1:15">
      <c r="A52">
        <v>66</v>
      </c>
      <c r="C52" t="s">
        <v>148</v>
      </c>
      <c r="D52">
        <f t="shared" si="13"/>
        <v>3000.5024000000003</v>
      </c>
      <c r="E52">
        <v>2978.5205000000001</v>
      </c>
      <c r="F52">
        <f t="shared" si="14"/>
        <v>1489.7639000000001</v>
      </c>
      <c r="G52">
        <f t="shared" si="15"/>
        <v>993.51170000000002</v>
      </c>
      <c r="H52">
        <f t="shared" si="0"/>
        <v>745.38560000000007</v>
      </c>
      <c r="I52">
        <v>-1</v>
      </c>
      <c r="J52">
        <v>-1</v>
      </c>
      <c r="K52">
        <v>0</v>
      </c>
      <c r="L52">
        <v>0</v>
      </c>
      <c r="M52">
        <v>-1</v>
      </c>
      <c r="N52" t="s">
        <v>51</v>
      </c>
    </row>
    <row r="53" spans="1:15">
      <c r="A53" t="s">
        <v>150</v>
      </c>
      <c r="B53" t="s">
        <v>133</v>
      </c>
      <c r="C53" t="s">
        <v>149</v>
      </c>
      <c r="D53">
        <f t="shared" ref="D53:D63" si="16">E53+21.9819</f>
        <v>3013.4976000000001</v>
      </c>
      <c r="E53">
        <v>2991.5156999999999</v>
      </c>
      <c r="F53">
        <f t="shared" ref="F53:F63" si="17">(E53+1.0073)/2</f>
        <v>1496.2615000000001</v>
      </c>
      <c r="G53">
        <f t="shared" ref="G53:G63" si="18">(E53+1.0073*2)/3</f>
        <v>997.84343333333334</v>
      </c>
      <c r="H53">
        <f t="shared" si="0"/>
        <v>748.63440000000003</v>
      </c>
      <c r="I53">
        <v>-1</v>
      </c>
      <c r="J53">
        <v>-1</v>
      </c>
      <c r="K53">
        <v>0</v>
      </c>
      <c r="L53">
        <v>0</v>
      </c>
      <c r="M53">
        <v>-1</v>
      </c>
      <c r="N53" t="s">
        <v>51</v>
      </c>
      <c r="O53" t="s">
        <v>179</v>
      </c>
    </row>
    <row r="54" spans="1:15">
      <c r="C54" t="s">
        <v>181</v>
      </c>
      <c r="D54">
        <f t="shared" ref="D54" si="19">E54+21.9819</f>
        <v>3013.4976000000001</v>
      </c>
      <c r="E54">
        <v>2991.5156999999999</v>
      </c>
      <c r="F54">
        <f t="shared" ref="F54" si="20">(E54+1.0073)/2</f>
        <v>1496.2615000000001</v>
      </c>
      <c r="G54">
        <f t="shared" ref="G54" si="21">(E54+1.0073*2)/3</f>
        <v>997.84343333333334</v>
      </c>
      <c r="H54">
        <f t="shared" ref="H54" si="22">(E54+1.0073*3)/4</f>
        <v>748.63440000000003</v>
      </c>
      <c r="I54">
        <v>-1</v>
      </c>
      <c r="J54">
        <v>-1</v>
      </c>
      <c r="K54">
        <v>1</v>
      </c>
      <c r="L54">
        <v>0</v>
      </c>
      <c r="M54">
        <v>-1</v>
      </c>
      <c r="N54" t="s">
        <v>52</v>
      </c>
      <c r="O54" t="s">
        <v>175</v>
      </c>
    </row>
    <row r="55" spans="1:15">
      <c r="A55" t="s">
        <v>151</v>
      </c>
      <c r="B55" t="s">
        <v>147</v>
      </c>
      <c r="C55" t="s">
        <v>152</v>
      </c>
      <c r="D55">
        <f t="shared" si="16"/>
        <v>3054.5242000000003</v>
      </c>
      <c r="E55">
        <v>3032.5423000000001</v>
      </c>
      <c r="F55">
        <f t="shared" si="17"/>
        <v>1516.7748000000001</v>
      </c>
      <c r="G55">
        <f t="shared" si="18"/>
        <v>1011.5189666666666</v>
      </c>
      <c r="H55">
        <f t="shared" si="0"/>
        <v>758.89105000000006</v>
      </c>
      <c r="I55">
        <v>-1</v>
      </c>
      <c r="J55">
        <v>-1</v>
      </c>
      <c r="K55">
        <v>0</v>
      </c>
      <c r="L55">
        <v>0</v>
      </c>
      <c r="M55">
        <v>-1</v>
      </c>
      <c r="N55" t="s">
        <v>51</v>
      </c>
    </row>
    <row r="56" spans="1:15">
      <c r="C56" t="s">
        <v>182</v>
      </c>
      <c r="D56">
        <f t="shared" ref="D56" si="23">E56+21.9819</f>
        <v>3054.5242000000003</v>
      </c>
      <c r="E56">
        <v>3032.5423000000001</v>
      </c>
      <c r="F56">
        <f t="shared" ref="F56" si="24">(E56+1.0073)/2</f>
        <v>1516.7748000000001</v>
      </c>
      <c r="G56">
        <f t="shared" ref="G56" si="25">(E56+1.0073*2)/3</f>
        <v>1011.5189666666666</v>
      </c>
      <c r="H56">
        <f t="shared" ref="H56" si="26">(E56+1.0073*3)/4</f>
        <v>758.89105000000006</v>
      </c>
      <c r="I56">
        <v>-1</v>
      </c>
      <c r="J56">
        <v>-1</v>
      </c>
      <c r="K56">
        <v>0</v>
      </c>
      <c r="L56">
        <v>0</v>
      </c>
      <c r="M56">
        <v>-1</v>
      </c>
      <c r="N56" t="s">
        <v>52</v>
      </c>
      <c r="O56" t="s">
        <v>175</v>
      </c>
    </row>
    <row r="57" spans="1:15">
      <c r="A57" t="s">
        <v>154</v>
      </c>
      <c r="B57" t="s">
        <v>155</v>
      </c>
      <c r="C57" t="s">
        <v>153</v>
      </c>
      <c r="D57">
        <f t="shared" si="16"/>
        <v>3071.5395000000003</v>
      </c>
      <c r="E57">
        <v>3049.5576000000001</v>
      </c>
      <c r="F57">
        <f t="shared" si="17"/>
        <v>1525.2824500000002</v>
      </c>
      <c r="G57">
        <f t="shared" si="18"/>
        <v>1017.1907333333334</v>
      </c>
      <c r="H57">
        <f t="shared" si="0"/>
        <v>763.14487500000007</v>
      </c>
      <c r="I57">
        <v>-1</v>
      </c>
      <c r="J57">
        <v>-1</v>
      </c>
      <c r="K57">
        <v>0</v>
      </c>
      <c r="L57">
        <v>1</v>
      </c>
      <c r="M57">
        <v>-1</v>
      </c>
      <c r="N57" t="s">
        <v>51</v>
      </c>
      <c r="O57" t="s">
        <v>175</v>
      </c>
    </row>
    <row r="58" spans="1:15">
      <c r="A58">
        <v>74</v>
      </c>
      <c r="B58" t="s">
        <v>145</v>
      </c>
      <c r="C58" t="s">
        <v>156</v>
      </c>
      <c r="D58">
        <f t="shared" si="16"/>
        <v>3129.5450000000001</v>
      </c>
      <c r="E58">
        <v>3107.5630999999998</v>
      </c>
      <c r="F58">
        <f t="shared" si="17"/>
        <v>1554.2852</v>
      </c>
      <c r="G58">
        <f t="shared" si="18"/>
        <v>1036.5258999999999</v>
      </c>
      <c r="H58">
        <f t="shared" si="0"/>
        <v>777.64625000000001</v>
      </c>
      <c r="I58">
        <v>-1</v>
      </c>
      <c r="J58">
        <v>-1</v>
      </c>
      <c r="K58">
        <v>0</v>
      </c>
      <c r="L58">
        <v>0</v>
      </c>
      <c r="M58">
        <v>-1</v>
      </c>
      <c r="N58" t="s">
        <v>51</v>
      </c>
    </row>
    <row r="59" spans="1:15">
      <c r="A59" t="s">
        <v>157</v>
      </c>
      <c r="B59" t="s">
        <v>147</v>
      </c>
      <c r="C59" t="s">
        <v>158</v>
      </c>
      <c r="D59">
        <f t="shared" si="16"/>
        <v>3170.5715</v>
      </c>
      <c r="E59">
        <v>3148.5895999999998</v>
      </c>
      <c r="F59">
        <f t="shared" si="17"/>
        <v>1574.79845</v>
      </c>
      <c r="G59">
        <f t="shared" si="18"/>
        <v>1050.2013999999999</v>
      </c>
      <c r="H59">
        <f t="shared" si="0"/>
        <v>787.90287499999999</v>
      </c>
      <c r="I59">
        <v>-1</v>
      </c>
      <c r="J59">
        <v>-1</v>
      </c>
      <c r="K59">
        <v>0</v>
      </c>
      <c r="L59">
        <v>0</v>
      </c>
      <c r="M59">
        <v>-1</v>
      </c>
      <c r="N59" t="s">
        <v>51</v>
      </c>
      <c r="O59" t="s">
        <v>183</v>
      </c>
    </row>
    <row r="60" spans="1:15">
      <c r="C60" t="s">
        <v>184</v>
      </c>
      <c r="D60">
        <f t="shared" ref="D60:D61" si="27">E60+21.9819</f>
        <v>3170.5715</v>
      </c>
      <c r="E60">
        <v>3148.5895999999998</v>
      </c>
      <c r="F60">
        <f t="shared" ref="F60:F61" si="28">(E60+1.0073)/2</f>
        <v>1574.79845</v>
      </c>
      <c r="G60">
        <f t="shared" ref="G60:G61" si="29">(E60+1.0073*2)/3</f>
        <v>1050.2013999999999</v>
      </c>
      <c r="H60">
        <f t="shared" ref="H60:H61" si="30">(E60+1.0073*3)/4</f>
        <v>787.90287499999999</v>
      </c>
      <c r="I60">
        <v>-1</v>
      </c>
      <c r="J60">
        <v>-1</v>
      </c>
      <c r="K60">
        <v>0</v>
      </c>
      <c r="L60">
        <v>2</v>
      </c>
      <c r="M60">
        <v>-1</v>
      </c>
      <c r="N60" t="s">
        <v>52</v>
      </c>
      <c r="O60" t="s">
        <v>175</v>
      </c>
    </row>
    <row r="61" spans="1:15">
      <c r="A61">
        <v>78</v>
      </c>
      <c r="B61" t="s">
        <v>133</v>
      </c>
      <c r="C61" t="s">
        <v>159</v>
      </c>
      <c r="D61">
        <f t="shared" si="27"/>
        <v>3187.5868</v>
      </c>
      <c r="E61">
        <v>3165.6048999999998</v>
      </c>
      <c r="F61">
        <f t="shared" si="28"/>
        <v>1583.3061</v>
      </c>
      <c r="G61">
        <f t="shared" si="29"/>
        <v>1055.8731666666665</v>
      </c>
      <c r="H61">
        <f t="shared" si="30"/>
        <v>792.1567</v>
      </c>
      <c r="I61">
        <v>-1</v>
      </c>
      <c r="J61">
        <v>-1</v>
      </c>
      <c r="K61">
        <v>0</v>
      </c>
      <c r="L61">
        <v>0</v>
      </c>
      <c r="M61">
        <v>-1</v>
      </c>
      <c r="N61" t="s">
        <v>51</v>
      </c>
    </row>
    <row r="62" spans="1:15" s="9" customFormat="1">
      <c r="C62" s="9" t="s">
        <v>146</v>
      </c>
      <c r="D62" s="9">
        <f t="shared" si="16"/>
        <v>3187.5868</v>
      </c>
      <c r="E62" s="9">
        <v>3165.6048999999998</v>
      </c>
      <c r="F62" s="9">
        <f t="shared" si="17"/>
        <v>1583.3061</v>
      </c>
      <c r="G62" s="9">
        <f t="shared" si="18"/>
        <v>1055.8731666666665</v>
      </c>
      <c r="H62" s="9">
        <f t="shared" si="0"/>
        <v>792.1567</v>
      </c>
      <c r="I62" s="9">
        <v>-1</v>
      </c>
      <c r="J62" s="9">
        <v>-1</v>
      </c>
      <c r="K62" s="9">
        <v>0</v>
      </c>
      <c r="L62" s="9">
        <v>6</v>
      </c>
      <c r="M62" s="9">
        <v>-1</v>
      </c>
      <c r="N62" s="9" t="s">
        <v>52</v>
      </c>
      <c r="O62" s="9" t="s">
        <v>189</v>
      </c>
    </row>
    <row r="63" spans="1:15">
      <c r="A63" t="s">
        <v>160</v>
      </c>
      <c r="B63" t="s">
        <v>162</v>
      </c>
      <c r="C63" t="s">
        <v>161</v>
      </c>
      <c r="D63">
        <f t="shared" si="16"/>
        <v>3200.5821000000001</v>
      </c>
      <c r="E63">
        <v>3178.6001999999999</v>
      </c>
      <c r="F63">
        <f t="shared" si="17"/>
        <v>1589.80375</v>
      </c>
      <c r="G63">
        <f t="shared" si="18"/>
        <v>1060.2049333333332</v>
      </c>
      <c r="H63">
        <f t="shared" si="0"/>
        <v>795.40552500000001</v>
      </c>
      <c r="I63">
        <v>-1</v>
      </c>
      <c r="J63">
        <v>-1</v>
      </c>
      <c r="K63">
        <v>0</v>
      </c>
      <c r="L63">
        <v>0</v>
      </c>
      <c r="M63">
        <v>-1</v>
      </c>
      <c r="N63" t="s">
        <v>51</v>
      </c>
      <c r="O63" t="s">
        <v>185</v>
      </c>
    </row>
    <row r="64" spans="1:15">
      <c r="A64">
        <v>86</v>
      </c>
      <c r="B64" t="s">
        <v>147</v>
      </c>
      <c r="C64" t="s">
        <v>165</v>
      </c>
      <c r="D64">
        <f t="shared" ref="D64:D65" si="31">E64+21.9819</f>
        <v>3361.6760000000004</v>
      </c>
      <c r="E64">
        <v>3339.6941000000002</v>
      </c>
      <c r="F64">
        <f t="shared" ref="F64:F65" si="32">(E64+1.0073)/2</f>
        <v>1670.3507000000002</v>
      </c>
      <c r="G64">
        <f t="shared" ref="G64:G65" si="33">(E64+1.0073*2)/3</f>
        <v>1113.9029</v>
      </c>
      <c r="H64">
        <f t="shared" si="0"/>
        <v>835.67900000000009</v>
      </c>
      <c r="I64">
        <v>-1</v>
      </c>
      <c r="J64">
        <v>-1</v>
      </c>
      <c r="K64">
        <v>0</v>
      </c>
      <c r="L64">
        <v>1</v>
      </c>
      <c r="M64">
        <v>-1</v>
      </c>
      <c r="N64" t="s">
        <v>51</v>
      </c>
    </row>
    <row r="65" spans="1:15">
      <c r="A65" t="s">
        <v>164</v>
      </c>
      <c r="B65" t="s">
        <v>147</v>
      </c>
      <c r="C65" t="s">
        <v>166</v>
      </c>
      <c r="D65">
        <f t="shared" si="31"/>
        <v>3374.6713000000004</v>
      </c>
      <c r="E65">
        <v>3352.6894000000002</v>
      </c>
      <c r="F65">
        <f t="shared" si="32"/>
        <v>1676.8483500000002</v>
      </c>
      <c r="G65">
        <f t="shared" si="33"/>
        <v>1118.2346666666667</v>
      </c>
      <c r="H65">
        <f t="shared" si="0"/>
        <v>838.9278250000001</v>
      </c>
      <c r="I65">
        <v>-1</v>
      </c>
      <c r="J65">
        <v>-1</v>
      </c>
      <c r="K65">
        <v>0</v>
      </c>
      <c r="L65">
        <v>0</v>
      </c>
      <c r="M65">
        <v>-1</v>
      </c>
      <c r="N65" t="s">
        <v>51</v>
      </c>
    </row>
    <row r="66" spans="1:15">
      <c r="A66">
        <v>92</v>
      </c>
      <c r="C66" t="s">
        <v>167</v>
      </c>
      <c r="D66">
        <f t="shared" ref="D66:D69" si="34">E66+21.9819</f>
        <v>3722.8497000000002</v>
      </c>
      <c r="E66">
        <v>3700.8678</v>
      </c>
      <c r="F66">
        <f t="shared" ref="F66:F69" si="35">(E66+1.0073)/2</f>
        <v>1850.9375500000001</v>
      </c>
      <c r="G66">
        <f t="shared" ref="G66:G69" si="36">(E66+1.0073*2)/3</f>
        <v>1234.2941333333333</v>
      </c>
      <c r="H66">
        <f t="shared" si="0"/>
        <v>925.97242500000004</v>
      </c>
      <c r="I66">
        <v>-1</v>
      </c>
      <c r="J66">
        <v>-1</v>
      </c>
      <c r="K66">
        <v>0</v>
      </c>
      <c r="L66">
        <v>0</v>
      </c>
      <c r="M66">
        <v>-1</v>
      </c>
      <c r="N66" t="s">
        <v>51</v>
      </c>
    </row>
    <row r="67" spans="1:15">
      <c r="A67">
        <v>93</v>
      </c>
      <c r="B67" t="s">
        <v>90</v>
      </c>
      <c r="C67" t="s">
        <v>168</v>
      </c>
      <c r="D67">
        <f t="shared" si="34"/>
        <v>4359.1602999999996</v>
      </c>
      <c r="E67">
        <v>4337.1783999999998</v>
      </c>
      <c r="F67">
        <f t="shared" si="35"/>
        <v>2169.09285</v>
      </c>
      <c r="G67">
        <f t="shared" si="36"/>
        <v>1446.3976666666667</v>
      </c>
      <c r="H67">
        <f t="shared" si="0"/>
        <v>1085.0500749999999</v>
      </c>
      <c r="I67">
        <v>-1</v>
      </c>
      <c r="J67">
        <v>-1</v>
      </c>
      <c r="K67">
        <v>-1</v>
      </c>
      <c r="L67">
        <v>0</v>
      </c>
      <c r="M67">
        <v>0</v>
      </c>
      <c r="N67" t="s">
        <v>51</v>
      </c>
    </row>
    <row r="68" spans="1:15">
      <c r="A68">
        <v>94</v>
      </c>
      <c r="B68" t="s">
        <v>170</v>
      </c>
      <c r="C68" t="s">
        <v>169</v>
      </c>
      <c r="D68">
        <f t="shared" si="34"/>
        <v>4737.3491999999997</v>
      </c>
      <c r="E68">
        <v>4715.3672999999999</v>
      </c>
      <c r="F68">
        <f t="shared" si="35"/>
        <v>2358.1873000000001</v>
      </c>
      <c r="G68">
        <f t="shared" si="36"/>
        <v>1572.4606333333334</v>
      </c>
      <c r="H68">
        <f t="shared" si="0"/>
        <v>1179.5972999999999</v>
      </c>
      <c r="I68">
        <v>-1</v>
      </c>
      <c r="J68">
        <v>-1</v>
      </c>
      <c r="K68">
        <v>-1</v>
      </c>
      <c r="L68">
        <v>1</v>
      </c>
      <c r="M68">
        <v>0</v>
      </c>
      <c r="N68" t="s">
        <v>51</v>
      </c>
    </row>
    <row r="69" spans="1:15">
      <c r="A69">
        <v>95</v>
      </c>
      <c r="B69" t="s">
        <v>172</v>
      </c>
      <c r="C69" t="s">
        <v>171</v>
      </c>
      <c r="D69">
        <f t="shared" si="34"/>
        <v>4739.3648999999996</v>
      </c>
      <c r="E69">
        <v>4717.3829999999998</v>
      </c>
      <c r="F69">
        <f t="shared" si="35"/>
        <v>2359.19515</v>
      </c>
      <c r="G69">
        <f t="shared" si="36"/>
        <v>1573.1325333333334</v>
      </c>
      <c r="H69">
        <f t="shared" si="0"/>
        <v>1180.1012249999999</v>
      </c>
      <c r="I69">
        <v>-1</v>
      </c>
      <c r="J69">
        <v>-1</v>
      </c>
      <c r="K69">
        <v>-1</v>
      </c>
      <c r="L69">
        <v>0</v>
      </c>
      <c r="M69">
        <v>0</v>
      </c>
      <c r="N69" t="s">
        <v>51</v>
      </c>
      <c r="O69" t="s">
        <v>187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15D-BEE4-3D4E-9D03-D3E2CBF59D16}">
  <dimension ref="A1:J254"/>
  <sheetViews>
    <sheetView tabSelected="1" workbookViewId="0">
      <pane ySplit="1" topLeftCell="A2" activePane="bottomLeft" state="frozen"/>
      <selection pane="bottomLeft" activeCell="H7" sqref="H7"/>
    </sheetView>
  </sheetViews>
  <sheetFormatPr defaultColWidth="11" defaultRowHeight="16.5"/>
  <cols>
    <col min="1" max="1" width="20.125" customWidth="1"/>
    <col min="2" max="2" width="16.25" customWidth="1"/>
  </cols>
  <sheetData>
    <row r="1" spans="1:10">
      <c r="A1" t="s">
        <v>188</v>
      </c>
      <c r="B1" t="s">
        <v>190</v>
      </c>
      <c r="C1" t="s">
        <v>220</v>
      </c>
      <c r="D1" t="s">
        <v>55</v>
      </c>
      <c r="E1" t="s">
        <v>24</v>
      </c>
      <c r="F1" t="s">
        <v>191</v>
      </c>
      <c r="G1" t="s">
        <v>217</v>
      </c>
      <c r="H1" t="s">
        <v>216</v>
      </c>
      <c r="I1" t="s">
        <v>218</v>
      </c>
      <c r="J1" t="s">
        <v>58</v>
      </c>
    </row>
    <row r="2" spans="1:10">
      <c r="A2" t="s">
        <v>6</v>
      </c>
      <c r="B2">
        <v>14842</v>
      </c>
      <c r="C2">
        <v>1</v>
      </c>
      <c r="D2">
        <v>2</v>
      </c>
      <c r="E2">
        <v>0</v>
      </c>
      <c r="F2" t="s">
        <v>192</v>
      </c>
    </row>
    <row r="3" spans="1:10">
      <c r="A3" t="s">
        <v>6</v>
      </c>
      <c r="B3">
        <v>15011</v>
      </c>
      <c r="C3">
        <v>1</v>
      </c>
      <c r="D3">
        <v>2</v>
      </c>
      <c r="E3">
        <v>0</v>
      </c>
      <c r="F3" t="s">
        <v>192</v>
      </c>
    </row>
    <row r="4" spans="1:10">
      <c r="A4" t="s">
        <v>6</v>
      </c>
      <c r="B4">
        <v>15172</v>
      </c>
      <c r="C4">
        <v>1</v>
      </c>
      <c r="D4">
        <v>2</v>
      </c>
      <c r="E4">
        <v>0</v>
      </c>
      <c r="F4" t="s">
        <v>192</v>
      </c>
    </row>
    <row r="5" spans="1:10">
      <c r="A5" t="s">
        <v>6</v>
      </c>
      <c r="B5">
        <v>15349</v>
      </c>
      <c r="C5">
        <v>2</v>
      </c>
      <c r="D5">
        <v>2</v>
      </c>
      <c r="E5">
        <v>0</v>
      </c>
      <c r="F5" t="s">
        <v>192</v>
      </c>
    </row>
    <row r="6" spans="1:10">
      <c r="A6" t="s">
        <v>6</v>
      </c>
      <c r="B6">
        <v>15537</v>
      </c>
      <c r="C6">
        <v>2</v>
      </c>
      <c r="D6">
        <v>2</v>
      </c>
      <c r="E6">
        <v>0</v>
      </c>
      <c r="F6" t="s">
        <v>192</v>
      </c>
    </row>
    <row r="7" spans="1:10">
      <c r="A7" t="s">
        <v>6</v>
      </c>
      <c r="B7" s="9">
        <v>15990</v>
      </c>
      <c r="C7">
        <v>2</v>
      </c>
      <c r="D7">
        <v>2</v>
      </c>
      <c r="E7">
        <v>0</v>
      </c>
      <c r="F7" t="s">
        <v>192</v>
      </c>
    </row>
    <row r="8" spans="1:10">
      <c r="A8" t="s">
        <v>6</v>
      </c>
      <c r="B8">
        <v>16298</v>
      </c>
      <c r="C8">
        <v>0</v>
      </c>
      <c r="D8">
        <v>2</v>
      </c>
      <c r="E8">
        <v>0</v>
      </c>
      <c r="F8" t="s">
        <v>192</v>
      </c>
    </row>
    <row r="9" spans="1:10">
      <c r="A9" t="s">
        <v>6</v>
      </c>
      <c r="B9">
        <v>16856</v>
      </c>
      <c r="C9">
        <v>3</v>
      </c>
      <c r="D9">
        <v>2</v>
      </c>
      <c r="E9">
        <v>0</v>
      </c>
      <c r="F9" t="s">
        <v>192</v>
      </c>
    </row>
    <row r="10" spans="1:10">
      <c r="A10" t="s">
        <v>6</v>
      </c>
      <c r="B10">
        <v>17026</v>
      </c>
      <c r="C10">
        <v>3</v>
      </c>
      <c r="D10">
        <v>2</v>
      </c>
      <c r="E10">
        <v>0</v>
      </c>
      <c r="F10" t="s">
        <v>192</v>
      </c>
    </row>
    <row r="11" spans="1:10">
      <c r="A11" t="s">
        <v>6</v>
      </c>
      <c r="B11">
        <v>17362</v>
      </c>
      <c r="C11">
        <v>3</v>
      </c>
      <c r="D11">
        <v>2</v>
      </c>
      <c r="E11">
        <v>0</v>
      </c>
      <c r="F11" t="s">
        <v>192</v>
      </c>
    </row>
    <row r="12" spans="1:10">
      <c r="A12" t="s">
        <v>7</v>
      </c>
      <c r="B12">
        <v>17861</v>
      </c>
      <c r="C12">
        <v>1</v>
      </c>
      <c r="D12">
        <v>2</v>
      </c>
      <c r="E12">
        <v>0</v>
      </c>
      <c r="F12" t="s">
        <v>192</v>
      </c>
    </row>
    <row r="13" spans="1:10">
      <c r="A13" t="s">
        <v>7</v>
      </c>
      <c r="B13">
        <v>18029</v>
      </c>
      <c r="C13">
        <v>1</v>
      </c>
      <c r="D13">
        <v>2</v>
      </c>
      <c r="E13">
        <v>0</v>
      </c>
      <c r="F13" t="s">
        <v>192</v>
      </c>
    </row>
    <row r="14" spans="1:10">
      <c r="A14" t="s">
        <v>7</v>
      </c>
      <c r="B14">
        <v>18212</v>
      </c>
      <c r="C14">
        <v>1</v>
      </c>
      <c r="D14">
        <v>2</v>
      </c>
      <c r="E14">
        <v>0</v>
      </c>
      <c r="F14" t="s">
        <v>192</v>
      </c>
    </row>
    <row r="15" spans="1:10">
      <c r="A15" t="s">
        <v>7</v>
      </c>
      <c r="B15">
        <v>18395</v>
      </c>
      <c r="C15">
        <v>2</v>
      </c>
      <c r="D15">
        <v>2</v>
      </c>
      <c r="E15">
        <v>0</v>
      </c>
      <c r="F15" t="s">
        <v>192</v>
      </c>
    </row>
    <row r="16" spans="1:10">
      <c r="A16" t="s">
        <v>7</v>
      </c>
      <c r="B16">
        <v>18568</v>
      </c>
      <c r="C16">
        <v>2</v>
      </c>
      <c r="D16">
        <v>2</v>
      </c>
      <c r="E16">
        <v>0</v>
      </c>
      <c r="F16" t="s">
        <v>192</v>
      </c>
    </row>
    <row r="17" spans="1:6">
      <c r="A17" t="s">
        <v>7</v>
      </c>
      <c r="B17">
        <v>19738</v>
      </c>
      <c r="C17">
        <v>3</v>
      </c>
      <c r="D17">
        <v>2</v>
      </c>
      <c r="E17">
        <v>0</v>
      </c>
      <c r="F17" t="s">
        <v>192</v>
      </c>
    </row>
    <row r="18" spans="1:6">
      <c r="A18" t="s">
        <v>7</v>
      </c>
      <c r="B18">
        <v>19925</v>
      </c>
      <c r="C18">
        <v>3</v>
      </c>
      <c r="D18">
        <v>2</v>
      </c>
      <c r="E18">
        <v>0</v>
      </c>
      <c r="F18" t="s">
        <v>192</v>
      </c>
    </row>
    <row r="19" spans="1:6">
      <c r="A19" t="s">
        <v>8</v>
      </c>
      <c r="B19">
        <v>20511</v>
      </c>
      <c r="C19">
        <v>1</v>
      </c>
      <c r="D19">
        <v>2</v>
      </c>
      <c r="E19">
        <v>0</v>
      </c>
      <c r="F19" t="s">
        <v>192</v>
      </c>
    </row>
    <row r="20" spans="1:6">
      <c r="A20" t="s">
        <v>8</v>
      </c>
      <c r="B20">
        <v>20575</v>
      </c>
      <c r="C20">
        <v>1</v>
      </c>
      <c r="D20">
        <v>2</v>
      </c>
      <c r="E20">
        <v>0</v>
      </c>
      <c r="F20" t="s">
        <v>192</v>
      </c>
    </row>
    <row r="21" spans="1:6">
      <c r="A21" t="s">
        <v>8</v>
      </c>
      <c r="B21">
        <v>20755</v>
      </c>
      <c r="C21">
        <v>1</v>
      </c>
      <c r="D21">
        <v>2</v>
      </c>
      <c r="E21">
        <v>0</v>
      </c>
      <c r="F21" t="s">
        <v>192</v>
      </c>
    </row>
    <row r="22" spans="1:6">
      <c r="A22" t="s">
        <v>8</v>
      </c>
      <c r="B22">
        <v>20903</v>
      </c>
      <c r="C22">
        <v>1</v>
      </c>
      <c r="D22">
        <v>2</v>
      </c>
      <c r="E22">
        <v>0</v>
      </c>
      <c r="F22" t="s">
        <v>192</v>
      </c>
    </row>
    <row r="23" spans="1:6">
      <c r="A23" t="s">
        <v>8</v>
      </c>
      <c r="B23">
        <v>21125</v>
      </c>
      <c r="C23">
        <v>2</v>
      </c>
      <c r="D23">
        <v>2</v>
      </c>
      <c r="E23">
        <v>0</v>
      </c>
      <c r="F23" t="s">
        <v>192</v>
      </c>
    </row>
    <row r="24" spans="1:6">
      <c r="A24" t="s">
        <v>8</v>
      </c>
      <c r="B24">
        <v>22266</v>
      </c>
      <c r="C24">
        <v>3</v>
      </c>
      <c r="D24">
        <v>2</v>
      </c>
      <c r="E24">
        <v>0</v>
      </c>
      <c r="F24" t="s">
        <v>192</v>
      </c>
    </row>
    <row r="25" spans="1:6">
      <c r="A25" t="s">
        <v>8</v>
      </c>
      <c r="B25">
        <v>22441</v>
      </c>
      <c r="C25">
        <v>3</v>
      </c>
      <c r="D25">
        <v>2</v>
      </c>
      <c r="E25">
        <v>0</v>
      </c>
      <c r="F25" t="s">
        <v>192</v>
      </c>
    </row>
    <row r="26" spans="1:6">
      <c r="A26" t="s">
        <v>8</v>
      </c>
      <c r="B26">
        <v>22642</v>
      </c>
      <c r="C26">
        <v>3</v>
      </c>
      <c r="D26">
        <v>2</v>
      </c>
      <c r="E26">
        <v>0</v>
      </c>
      <c r="F26" t="s">
        <v>192</v>
      </c>
    </row>
    <row r="27" spans="1:6">
      <c r="A27" t="s">
        <v>9</v>
      </c>
      <c r="B27">
        <v>24719</v>
      </c>
      <c r="C27">
        <v>2</v>
      </c>
      <c r="D27">
        <v>2</v>
      </c>
      <c r="E27">
        <v>0</v>
      </c>
      <c r="F27" t="s">
        <v>192</v>
      </c>
    </row>
    <row r="28" spans="1:6">
      <c r="A28" t="s">
        <v>9</v>
      </c>
      <c r="B28">
        <v>25079</v>
      </c>
      <c r="C28">
        <v>2</v>
      </c>
      <c r="D28">
        <v>2</v>
      </c>
      <c r="E28">
        <v>0</v>
      </c>
      <c r="F28" t="s">
        <v>192</v>
      </c>
    </row>
    <row r="29" spans="1:6">
      <c r="A29" t="s">
        <v>9</v>
      </c>
      <c r="B29">
        <v>23170</v>
      </c>
      <c r="C29">
        <v>1</v>
      </c>
      <c r="D29">
        <v>2</v>
      </c>
      <c r="E29">
        <v>1</v>
      </c>
      <c r="F29" t="s">
        <v>192</v>
      </c>
    </row>
    <row r="30" spans="1:6">
      <c r="A30" t="s">
        <v>9</v>
      </c>
      <c r="B30">
        <v>23016</v>
      </c>
      <c r="C30">
        <v>1</v>
      </c>
      <c r="D30">
        <v>2</v>
      </c>
      <c r="E30">
        <v>1</v>
      </c>
      <c r="F30" t="s">
        <v>192</v>
      </c>
    </row>
    <row r="31" spans="1:6">
      <c r="A31" t="s">
        <v>9</v>
      </c>
      <c r="B31">
        <v>23329</v>
      </c>
      <c r="C31">
        <v>1</v>
      </c>
      <c r="D31">
        <v>2</v>
      </c>
      <c r="E31">
        <v>1</v>
      </c>
      <c r="F31" t="s">
        <v>192</v>
      </c>
    </row>
    <row r="32" spans="1:6">
      <c r="A32" t="s">
        <v>9</v>
      </c>
      <c r="B32">
        <v>24917</v>
      </c>
      <c r="C32">
        <v>2</v>
      </c>
      <c r="D32">
        <v>2</v>
      </c>
      <c r="E32">
        <v>1</v>
      </c>
      <c r="F32" t="s">
        <v>192</v>
      </c>
    </row>
    <row r="33" spans="1:6">
      <c r="A33" t="s">
        <v>10</v>
      </c>
      <c r="B33">
        <v>25144</v>
      </c>
      <c r="C33">
        <v>1</v>
      </c>
      <c r="D33">
        <v>2</v>
      </c>
      <c r="E33">
        <v>1</v>
      </c>
      <c r="F33" t="s">
        <v>192</v>
      </c>
    </row>
    <row r="34" spans="1:6">
      <c r="A34" t="s">
        <v>10</v>
      </c>
      <c r="B34">
        <v>25320</v>
      </c>
      <c r="C34">
        <v>1</v>
      </c>
      <c r="D34">
        <v>2</v>
      </c>
      <c r="E34">
        <v>1</v>
      </c>
      <c r="F34" t="s">
        <v>192</v>
      </c>
    </row>
    <row r="35" spans="1:6">
      <c r="A35" t="s">
        <v>10</v>
      </c>
      <c r="B35">
        <v>25473</v>
      </c>
      <c r="C35">
        <v>1</v>
      </c>
      <c r="D35">
        <v>2</v>
      </c>
      <c r="E35">
        <v>1</v>
      </c>
      <c r="F35" t="s">
        <v>192</v>
      </c>
    </row>
    <row r="36" spans="1:6">
      <c r="A36" t="s">
        <v>10</v>
      </c>
      <c r="B36">
        <v>26845</v>
      </c>
      <c r="C36">
        <v>2</v>
      </c>
      <c r="D36">
        <v>2</v>
      </c>
      <c r="E36">
        <v>1</v>
      </c>
      <c r="F36" t="s">
        <v>192</v>
      </c>
    </row>
    <row r="37" spans="1:6">
      <c r="A37" t="s">
        <v>10</v>
      </c>
      <c r="B37">
        <v>27028</v>
      </c>
      <c r="C37">
        <v>2</v>
      </c>
      <c r="D37">
        <v>2</v>
      </c>
      <c r="E37">
        <v>1</v>
      </c>
      <c r="F37" t="s">
        <v>192</v>
      </c>
    </row>
    <row r="38" spans="1:6">
      <c r="A38" t="s">
        <v>10</v>
      </c>
      <c r="B38">
        <v>27216</v>
      </c>
      <c r="C38">
        <v>2</v>
      </c>
      <c r="D38">
        <v>2</v>
      </c>
      <c r="E38">
        <v>1</v>
      </c>
      <c r="F38" t="s">
        <v>192</v>
      </c>
    </row>
    <row r="39" spans="1:6">
      <c r="A39" t="s">
        <v>47</v>
      </c>
      <c r="B39">
        <v>15761</v>
      </c>
      <c r="C39">
        <v>1</v>
      </c>
      <c r="D39">
        <v>3</v>
      </c>
      <c r="E39">
        <v>1</v>
      </c>
      <c r="F39" t="s">
        <v>193</v>
      </c>
    </row>
    <row r="40" spans="1:6">
      <c r="A40" t="s">
        <v>47</v>
      </c>
      <c r="B40">
        <v>15961</v>
      </c>
      <c r="C40">
        <v>1</v>
      </c>
      <c r="D40">
        <v>3</v>
      </c>
      <c r="E40">
        <v>1</v>
      </c>
      <c r="F40" t="s">
        <v>193</v>
      </c>
    </row>
    <row r="41" spans="1:6">
      <c r="A41" t="s">
        <v>47</v>
      </c>
      <c r="B41">
        <v>16128</v>
      </c>
      <c r="C41">
        <v>2</v>
      </c>
      <c r="D41">
        <v>3</v>
      </c>
      <c r="E41">
        <v>1</v>
      </c>
      <c r="F41" t="s">
        <v>193</v>
      </c>
    </row>
    <row r="42" spans="1:6">
      <c r="A42" t="s">
        <v>47</v>
      </c>
      <c r="B42">
        <v>16328</v>
      </c>
      <c r="C42">
        <v>2</v>
      </c>
      <c r="D42">
        <v>3</v>
      </c>
      <c r="E42">
        <v>1</v>
      </c>
      <c r="F42" t="s">
        <v>193</v>
      </c>
    </row>
    <row r="43" spans="1:6">
      <c r="A43" t="s">
        <v>47</v>
      </c>
      <c r="B43">
        <v>17241</v>
      </c>
      <c r="C43">
        <v>3</v>
      </c>
      <c r="D43">
        <v>3</v>
      </c>
      <c r="E43">
        <v>1</v>
      </c>
      <c r="F43" t="s">
        <v>193</v>
      </c>
    </row>
    <row r="44" spans="1:6">
      <c r="A44" t="s">
        <v>47</v>
      </c>
      <c r="B44">
        <v>17458</v>
      </c>
      <c r="C44">
        <v>3</v>
      </c>
      <c r="D44">
        <v>3</v>
      </c>
      <c r="E44">
        <v>1</v>
      </c>
      <c r="F44" t="s">
        <v>193</v>
      </c>
    </row>
    <row r="45" spans="1:6">
      <c r="A45" t="s">
        <v>47</v>
      </c>
      <c r="B45">
        <v>15686</v>
      </c>
      <c r="C45">
        <v>1</v>
      </c>
      <c r="D45">
        <v>2</v>
      </c>
      <c r="E45">
        <v>1</v>
      </c>
      <c r="F45" t="s">
        <v>192</v>
      </c>
    </row>
    <row r="46" spans="1:6">
      <c r="A46" t="s">
        <v>47</v>
      </c>
      <c r="B46">
        <v>15757</v>
      </c>
      <c r="C46">
        <v>1</v>
      </c>
      <c r="D46">
        <v>2</v>
      </c>
      <c r="E46">
        <v>1</v>
      </c>
      <c r="F46" t="s">
        <v>192</v>
      </c>
    </row>
    <row r="47" spans="1:6">
      <c r="A47" t="s">
        <v>47</v>
      </c>
      <c r="B47">
        <v>15921</v>
      </c>
      <c r="C47">
        <v>1</v>
      </c>
      <c r="D47">
        <v>2</v>
      </c>
      <c r="E47">
        <v>1</v>
      </c>
      <c r="F47" t="s">
        <v>192</v>
      </c>
    </row>
    <row r="48" spans="1:6">
      <c r="A48" t="s">
        <v>47</v>
      </c>
      <c r="B48">
        <v>16260</v>
      </c>
      <c r="C48">
        <v>2</v>
      </c>
      <c r="D48">
        <v>2</v>
      </c>
      <c r="E48">
        <v>1</v>
      </c>
      <c r="F48" t="s">
        <v>192</v>
      </c>
    </row>
    <row r="49" spans="1:6">
      <c r="A49" t="s">
        <v>47</v>
      </c>
      <c r="B49">
        <v>16433</v>
      </c>
      <c r="C49">
        <v>2</v>
      </c>
      <c r="D49">
        <v>2</v>
      </c>
      <c r="E49">
        <v>1</v>
      </c>
      <c r="F49" t="s">
        <v>192</v>
      </c>
    </row>
    <row r="50" spans="1:6">
      <c r="A50" t="s">
        <v>47</v>
      </c>
      <c r="B50">
        <v>17170</v>
      </c>
      <c r="C50">
        <v>3</v>
      </c>
      <c r="D50">
        <v>2</v>
      </c>
      <c r="E50">
        <v>1</v>
      </c>
      <c r="F50" t="s">
        <v>192</v>
      </c>
    </row>
    <row r="51" spans="1:6">
      <c r="A51" t="s">
        <v>47</v>
      </c>
      <c r="B51">
        <v>17345</v>
      </c>
      <c r="C51">
        <v>3</v>
      </c>
      <c r="D51">
        <v>2</v>
      </c>
      <c r="E51">
        <v>1</v>
      </c>
      <c r="F51" t="s">
        <v>192</v>
      </c>
    </row>
    <row r="52" spans="1:6">
      <c r="A52" t="s">
        <v>53</v>
      </c>
      <c r="B52">
        <v>15967</v>
      </c>
      <c r="C52">
        <v>1</v>
      </c>
      <c r="D52">
        <v>2</v>
      </c>
      <c r="E52">
        <v>1</v>
      </c>
      <c r="F52" t="s">
        <v>192</v>
      </c>
    </row>
    <row r="53" spans="1:6">
      <c r="A53" t="s">
        <v>53</v>
      </c>
      <c r="B53">
        <v>16149</v>
      </c>
      <c r="C53">
        <v>1</v>
      </c>
      <c r="D53">
        <v>2</v>
      </c>
      <c r="E53">
        <v>1</v>
      </c>
      <c r="F53" t="s">
        <v>192</v>
      </c>
    </row>
    <row r="54" spans="1:6">
      <c r="A54" t="s">
        <v>53</v>
      </c>
      <c r="B54">
        <v>17462</v>
      </c>
      <c r="C54">
        <v>2</v>
      </c>
      <c r="D54">
        <v>2</v>
      </c>
      <c r="E54">
        <v>1</v>
      </c>
      <c r="F54" t="s">
        <v>192</v>
      </c>
    </row>
    <row r="55" spans="1:6">
      <c r="A55" t="s">
        <v>53</v>
      </c>
      <c r="B55">
        <v>16081</v>
      </c>
      <c r="C55">
        <v>1</v>
      </c>
      <c r="D55">
        <v>3</v>
      </c>
      <c r="E55">
        <v>1</v>
      </c>
      <c r="F55" t="s">
        <v>193</v>
      </c>
    </row>
    <row r="56" spans="1:6">
      <c r="A56" t="s">
        <v>53</v>
      </c>
      <c r="B56">
        <v>16122</v>
      </c>
      <c r="C56">
        <v>1</v>
      </c>
      <c r="D56">
        <v>3</v>
      </c>
      <c r="E56">
        <v>1</v>
      </c>
      <c r="F56" t="s">
        <v>193</v>
      </c>
    </row>
    <row r="57" spans="1:6">
      <c r="A57" t="s">
        <v>53</v>
      </c>
      <c r="B57">
        <v>17507</v>
      </c>
      <c r="C57">
        <v>2</v>
      </c>
      <c r="D57">
        <v>3</v>
      </c>
      <c r="E57">
        <v>1</v>
      </c>
      <c r="F57" t="s">
        <v>193</v>
      </c>
    </row>
    <row r="58" spans="1:6">
      <c r="A58" t="s">
        <v>57</v>
      </c>
      <c r="B58">
        <v>17600</v>
      </c>
      <c r="C58">
        <v>1</v>
      </c>
      <c r="D58">
        <v>3</v>
      </c>
      <c r="E58">
        <v>1</v>
      </c>
      <c r="F58" t="s">
        <v>193</v>
      </c>
    </row>
    <row r="59" spans="1:6">
      <c r="A59" t="s">
        <v>57</v>
      </c>
      <c r="B59">
        <v>17883</v>
      </c>
      <c r="C59">
        <v>1</v>
      </c>
      <c r="D59">
        <v>3</v>
      </c>
      <c r="E59">
        <v>1</v>
      </c>
      <c r="F59" t="s">
        <v>193</v>
      </c>
    </row>
    <row r="60" spans="1:6">
      <c r="A60" t="s">
        <v>57</v>
      </c>
      <c r="B60">
        <v>18461</v>
      </c>
      <c r="C60">
        <v>2</v>
      </c>
      <c r="D60">
        <v>3</v>
      </c>
      <c r="E60">
        <v>1</v>
      </c>
      <c r="F60" t="s">
        <v>193</v>
      </c>
    </row>
    <row r="61" spans="1:6">
      <c r="A61" t="s">
        <v>57</v>
      </c>
      <c r="B61">
        <v>18640</v>
      </c>
      <c r="C61">
        <v>2</v>
      </c>
      <c r="D61">
        <v>3</v>
      </c>
      <c r="E61">
        <v>1</v>
      </c>
      <c r="F61" t="s">
        <v>193</v>
      </c>
    </row>
    <row r="62" spans="1:6">
      <c r="A62" t="s">
        <v>57</v>
      </c>
      <c r="B62">
        <v>18846</v>
      </c>
      <c r="C62">
        <v>3</v>
      </c>
      <c r="D62">
        <v>3</v>
      </c>
      <c r="E62">
        <v>1</v>
      </c>
      <c r="F62" t="s">
        <v>193</v>
      </c>
    </row>
    <row r="63" spans="1:6">
      <c r="A63" t="s">
        <v>57</v>
      </c>
      <c r="B63">
        <v>19015</v>
      </c>
      <c r="C63">
        <v>3</v>
      </c>
      <c r="D63">
        <v>3</v>
      </c>
      <c r="E63">
        <v>1</v>
      </c>
      <c r="F63" t="s">
        <v>193</v>
      </c>
    </row>
    <row r="64" spans="1:6">
      <c r="A64" t="s">
        <v>57</v>
      </c>
      <c r="B64">
        <v>19201</v>
      </c>
      <c r="C64">
        <v>3</v>
      </c>
      <c r="D64">
        <v>3</v>
      </c>
      <c r="E64">
        <v>1</v>
      </c>
      <c r="F64" t="s">
        <v>193</v>
      </c>
    </row>
    <row r="65" spans="1:6">
      <c r="A65" t="s">
        <v>56</v>
      </c>
      <c r="B65">
        <v>17348</v>
      </c>
      <c r="C65">
        <v>1</v>
      </c>
      <c r="D65">
        <v>2</v>
      </c>
      <c r="E65">
        <v>1</v>
      </c>
      <c r="F65" t="s">
        <v>192</v>
      </c>
    </row>
    <row r="66" spans="1:6">
      <c r="A66" t="s">
        <v>56</v>
      </c>
      <c r="B66">
        <v>17528</v>
      </c>
      <c r="C66">
        <v>1</v>
      </c>
      <c r="D66">
        <v>2</v>
      </c>
      <c r="E66">
        <v>1</v>
      </c>
      <c r="F66" t="s">
        <v>192</v>
      </c>
    </row>
    <row r="67" spans="1:6">
      <c r="A67" t="s">
        <v>56</v>
      </c>
      <c r="B67">
        <v>17709</v>
      </c>
      <c r="C67">
        <v>1</v>
      </c>
      <c r="D67">
        <v>2</v>
      </c>
      <c r="E67">
        <v>1</v>
      </c>
      <c r="F67" t="s">
        <v>192</v>
      </c>
    </row>
    <row r="68" spans="1:6">
      <c r="A68" t="s">
        <v>56</v>
      </c>
      <c r="B68">
        <v>17887</v>
      </c>
      <c r="C68">
        <v>2</v>
      </c>
      <c r="D68">
        <v>2</v>
      </c>
      <c r="E68">
        <v>1</v>
      </c>
      <c r="F68" t="s">
        <v>192</v>
      </c>
    </row>
    <row r="69" spans="1:6">
      <c r="A69" t="s">
        <v>56</v>
      </c>
      <c r="B69">
        <v>18108</v>
      </c>
      <c r="C69">
        <v>2</v>
      </c>
      <c r="D69">
        <v>2</v>
      </c>
      <c r="E69">
        <v>1</v>
      </c>
      <c r="F69" t="s">
        <v>192</v>
      </c>
    </row>
    <row r="70" spans="1:6">
      <c r="A70" t="s">
        <v>56</v>
      </c>
      <c r="B70">
        <v>18361</v>
      </c>
      <c r="C70">
        <v>0</v>
      </c>
      <c r="D70">
        <v>2</v>
      </c>
      <c r="E70">
        <v>1</v>
      </c>
      <c r="F70" t="s">
        <v>192</v>
      </c>
    </row>
    <row r="71" spans="1:6">
      <c r="A71" t="s">
        <v>56</v>
      </c>
      <c r="B71">
        <v>18634</v>
      </c>
      <c r="C71">
        <v>3</v>
      </c>
      <c r="D71">
        <v>2</v>
      </c>
      <c r="E71">
        <v>1</v>
      </c>
      <c r="F71" t="s">
        <v>192</v>
      </c>
    </row>
    <row r="72" spans="1:6">
      <c r="A72" t="s">
        <v>56</v>
      </c>
      <c r="B72">
        <v>18798</v>
      </c>
      <c r="C72">
        <v>3</v>
      </c>
      <c r="D72">
        <v>2</v>
      </c>
      <c r="E72">
        <v>1</v>
      </c>
      <c r="F72" t="s">
        <v>192</v>
      </c>
    </row>
    <row r="73" spans="1:6">
      <c r="A73" t="s">
        <v>56</v>
      </c>
      <c r="B73">
        <v>18973</v>
      </c>
      <c r="C73">
        <v>3</v>
      </c>
      <c r="D73">
        <v>2</v>
      </c>
      <c r="E73">
        <v>1</v>
      </c>
      <c r="F73" t="s">
        <v>192</v>
      </c>
    </row>
    <row r="74" spans="1:6">
      <c r="A74" t="s">
        <v>56</v>
      </c>
      <c r="B74">
        <v>19163</v>
      </c>
      <c r="C74">
        <v>3</v>
      </c>
      <c r="D74">
        <v>2</v>
      </c>
      <c r="E74">
        <v>1</v>
      </c>
      <c r="F74" t="s">
        <v>192</v>
      </c>
    </row>
    <row r="75" spans="1:6">
      <c r="A75" t="s">
        <v>56</v>
      </c>
      <c r="B75">
        <v>17346</v>
      </c>
      <c r="C75">
        <v>1</v>
      </c>
      <c r="D75">
        <v>3</v>
      </c>
      <c r="E75">
        <v>2</v>
      </c>
      <c r="F75" t="s">
        <v>193</v>
      </c>
    </row>
    <row r="76" spans="1:6">
      <c r="A76" t="s">
        <v>56</v>
      </c>
      <c r="B76">
        <v>17527</v>
      </c>
      <c r="C76">
        <v>1</v>
      </c>
      <c r="D76">
        <v>3</v>
      </c>
      <c r="E76">
        <v>1</v>
      </c>
      <c r="F76" t="s">
        <v>193</v>
      </c>
    </row>
    <row r="77" spans="1:6">
      <c r="A77" t="s">
        <v>56</v>
      </c>
      <c r="B77">
        <v>17708</v>
      </c>
      <c r="C77">
        <v>1</v>
      </c>
      <c r="D77">
        <v>3</v>
      </c>
      <c r="E77">
        <v>1</v>
      </c>
      <c r="F77" t="s">
        <v>193</v>
      </c>
    </row>
    <row r="78" spans="1:6">
      <c r="A78" t="s">
        <v>56</v>
      </c>
      <c r="B78">
        <v>17886</v>
      </c>
      <c r="C78">
        <v>2</v>
      </c>
      <c r="D78">
        <v>3</v>
      </c>
      <c r="E78">
        <v>1</v>
      </c>
      <c r="F78" t="s">
        <v>193</v>
      </c>
    </row>
    <row r="79" spans="1:6">
      <c r="A79" t="s">
        <v>56</v>
      </c>
      <c r="B79">
        <v>18663</v>
      </c>
      <c r="C79">
        <v>3</v>
      </c>
      <c r="D79">
        <v>3</v>
      </c>
      <c r="E79">
        <v>1</v>
      </c>
      <c r="F79" t="s">
        <v>193</v>
      </c>
    </row>
    <row r="80" spans="1:6">
      <c r="A80" t="s">
        <v>56</v>
      </c>
      <c r="B80">
        <v>18833</v>
      </c>
      <c r="C80">
        <v>3</v>
      </c>
      <c r="D80">
        <v>3</v>
      </c>
      <c r="E80">
        <v>1</v>
      </c>
      <c r="F80" t="s">
        <v>193</v>
      </c>
    </row>
    <row r="81" spans="1:6">
      <c r="A81" t="s">
        <v>56</v>
      </c>
      <c r="B81">
        <v>19009</v>
      </c>
      <c r="C81">
        <v>3</v>
      </c>
      <c r="D81">
        <v>3</v>
      </c>
      <c r="E81">
        <v>1</v>
      </c>
      <c r="F81" t="s">
        <v>193</v>
      </c>
    </row>
    <row r="82" spans="1:6">
      <c r="A82" t="s">
        <v>56</v>
      </c>
      <c r="B82">
        <v>19237</v>
      </c>
      <c r="C82">
        <v>3</v>
      </c>
      <c r="D82">
        <v>3</v>
      </c>
      <c r="E82">
        <v>1</v>
      </c>
      <c r="F82" t="s">
        <v>193</v>
      </c>
    </row>
    <row r="83" spans="1:6">
      <c r="A83" t="s">
        <v>61</v>
      </c>
      <c r="B83">
        <v>18978</v>
      </c>
      <c r="C83">
        <v>3</v>
      </c>
      <c r="D83">
        <v>2</v>
      </c>
      <c r="E83">
        <v>1</v>
      </c>
      <c r="F83" t="s">
        <v>192</v>
      </c>
    </row>
    <row r="84" spans="1:6">
      <c r="A84" t="s">
        <v>61</v>
      </c>
      <c r="B84">
        <v>19157</v>
      </c>
      <c r="C84">
        <v>3</v>
      </c>
      <c r="D84">
        <v>2</v>
      </c>
      <c r="E84">
        <v>1</v>
      </c>
      <c r="F84" t="s">
        <v>192</v>
      </c>
    </row>
    <row r="85" spans="1:6">
      <c r="A85" t="s">
        <v>61</v>
      </c>
      <c r="B85">
        <v>19335</v>
      </c>
      <c r="C85">
        <v>4</v>
      </c>
      <c r="D85">
        <v>2</v>
      </c>
      <c r="E85">
        <v>1</v>
      </c>
      <c r="F85" t="s">
        <v>192</v>
      </c>
    </row>
    <row r="86" spans="1:6">
      <c r="A86" t="s">
        <v>61</v>
      </c>
      <c r="B86">
        <v>19520</v>
      </c>
      <c r="C86">
        <v>4</v>
      </c>
      <c r="D86">
        <v>2</v>
      </c>
      <c r="E86">
        <v>1</v>
      </c>
      <c r="F86" t="s">
        <v>192</v>
      </c>
    </row>
    <row r="87" spans="1:6">
      <c r="A87" t="s">
        <v>61</v>
      </c>
      <c r="B87">
        <v>20422</v>
      </c>
      <c r="C87">
        <v>5</v>
      </c>
      <c r="D87">
        <v>2</v>
      </c>
      <c r="E87">
        <v>1</v>
      </c>
      <c r="F87" t="s">
        <v>192</v>
      </c>
    </row>
    <row r="88" spans="1:6">
      <c r="A88" t="s">
        <v>61</v>
      </c>
      <c r="B88">
        <v>20614</v>
      </c>
      <c r="C88">
        <v>5</v>
      </c>
      <c r="D88">
        <v>2</v>
      </c>
      <c r="E88">
        <v>1</v>
      </c>
      <c r="F88" t="s">
        <v>192</v>
      </c>
    </row>
    <row r="89" spans="1:6">
      <c r="A89" t="s">
        <v>66</v>
      </c>
      <c r="B89">
        <v>21512</v>
      </c>
      <c r="C89">
        <v>1</v>
      </c>
      <c r="D89">
        <v>3</v>
      </c>
      <c r="E89">
        <v>1</v>
      </c>
      <c r="F89" t="s">
        <v>193</v>
      </c>
    </row>
    <row r="90" spans="1:6">
      <c r="A90" t="s">
        <v>66</v>
      </c>
      <c r="B90">
        <v>21704</v>
      </c>
      <c r="C90">
        <v>1</v>
      </c>
      <c r="D90">
        <v>3</v>
      </c>
      <c r="E90">
        <v>1</v>
      </c>
      <c r="F90" t="s">
        <v>193</v>
      </c>
    </row>
    <row r="91" spans="1:6">
      <c r="A91" t="s">
        <v>66</v>
      </c>
      <c r="B91">
        <v>22881</v>
      </c>
      <c r="C91">
        <v>2</v>
      </c>
      <c r="D91">
        <v>3</v>
      </c>
      <c r="E91">
        <v>1</v>
      </c>
      <c r="F91" t="s">
        <v>193</v>
      </c>
    </row>
    <row r="92" spans="1:6">
      <c r="A92" t="s">
        <v>66</v>
      </c>
      <c r="B92">
        <v>21280</v>
      </c>
      <c r="C92">
        <v>1</v>
      </c>
      <c r="D92">
        <v>2</v>
      </c>
      <c r="E92">
        <v>1</v>
      </c>
      <c r="F92" t="s">
        <v>192</v>
      </c>
    </row>
    <row r="93" spans="1:6">
      <c r="A93" t="s">
        <v>66</v>
      </c>
      <c r="B93">
        <v>21474</v>
      </c>
      <c r="C93">
        <v>1</v>
      </c>
      <c r="D93">
        <v>2</v>
      </c>
      <c r="E93">
        <v>1</v>
      </c>
      <c r="F93" t="s">
        <v>192</v>
      </c>
    </row>
    <row r="94" spans="1:6">
      <c r="A94" t="s">
        <v>66</v>
      </c>
      <c r="B94">
        <v>21664</v>
      </c>
      <c r="C94">
        <v>1</v>
      </c>
      <c r="D94">
        <v>2</v>
      </c>
      <c r="E94">
        <v>1</v>
      </c>
      <c r="F94" t="s">
        <v>192</v>
      </c>
    </row>
    <row r="95" spans="1:6">
      <c r="A95" t="s">
        <v>66</v>
      </c>
      <c r="B95">
        <v>22410</v>
      </c>
      <c r="C95">
        <v>2</v>
      </c>
      <c r="D95">
        <v>2</v>
      </c>
      <c r="E95">
        <v>1</v>
      </c>
      <c r="F95" t="s">
        <v>192</v>
      </c>
    </row>
    <row r="96" spans="1:6">
      <c r="A96" t="s">
        <v>66</v>
      </c>
      <c r="B96">
        <v>22602</v>
      </c>
      <c r="C96">
        <v>2</v>
      </c>
      <c r="D96">
        <v>2</v>
      </c>
      <c r="E96">
        <v>1</v>
      </c>
      <c r="F96" t="s">
        <v>192</v>
      </c>
    </row>
    <row r="97" spans="1:6">
      <c r="A97" t="s">
        <v>66</v>
      </c>
      <c r="B97">
        <v>22808</v>
      </c>
      <c r="C97">
        <v>2</v>
      </c>
      <c r="D97">
        <v>2</v>
      </c>
      <c r="E97">
        <v>1</v>
      </c>
      <c r="F97" t="s">
        <v>192</v>
      </c>
    </row>
    <row r="98" spans="1:6">
      <c r="A98" t="s">
        <v>68</v>
      </c>
      <c r="B98">
        <v>15710</v>
      </c>
      <c r="C98">
        <v>1</v>
      </c>
      <c r="D98">
        <v>2</v>
      </c>
      <c r="E98">
        <v>1</v>
      </c>
      <c r="F98" t="s">
        <v>192</v>
      </c>
    </row>
    <row r="99" spans="1:6">
      <c r="A99" t="s">
        <v>68</v>
      </c>
      <c r="B99">
        <v>15883</v>
      </c>
      <c r="C99">
        <v>1</v>
      </c>
      <c r="D99">
        <v>2</v>
      </c>
      <c r="E99">
        <v>1</v>
      </c>
      <c r="F99" t="s">
        <v>192</v>
      </c>
    </row>
    <row r="100" spans="1:6">
      <c r="A100" t="s">
        <v>68</v>
      </c>
      <c r="B100">
        <v>16442</v>
      </c>
      <c r="C100">
        <v>1</v>
      </c>
      <c r="D100">
        <v>2</v>
      </c>
      <c r="E100">
        <v>2</v>
      </c>
      <c r="F100" t="s">
        <v>192</v>
      </c>
    </row>
    <row r="101" spans="1:6">
      <c r="A101" t="s">
        <v>68</v>
      </c>
      <c r="B101">
        <v>16959</v>
      </c>
      <c r="C101">
        <v>2</v>
      </c>
      <c r="D101">
        <v>2</v>
      </c>
      <c r="E101">
        <v>1</v>
      </c>
      <c r="F101" t="s">
        <v>192</v>
      </c>
    </row>
    <row r="102" spans="1:6">
      <c r="A102" t="s">
        <v>68</v>
      </c>
      <c r="B102">
        <v>17138</v>
      </c>
      <c r="C102">
        <v>2</v>
      </c>
      <c r="D102">
        <v>2</v>
      </c>
      <c r="E102">
        <v>1</v>
      </c>
      <c r="F102" t="s">
        <v>192</v>
      </c>
    </row>
    <row r="103" spans="1:6">
      <c r="A103" t="s">
        <v>68</v>
      </c>
      <c r="B103">
        <v>17316</v>
      </c>
      <c r="C103">
        <v>2</v>
      </c>
      <c r="D103">
        <v>2</v>
      </c>
      <c r="E103">
        <v>1</v>
      </c>
      <c r="F103" t="s">
        <v>192</v>
      </c>
    </row>
    <row r="104" spans="1:6">
      <c r="A104" t="s">
        <v>68</v>
      </c>
      <c r="B104">
        <v>15959</v>
      </c>
      <c r="C104">
        <v>1</v>
      </c>
      <c r="D104">
        <v>3</v>
      </c>
      <c r="E104">
        <v>1</v>
      </c>
      <c r="F104" t="s">
        <v>193</v>
      </c>
    </row>
    <row r="105" spans="1:6">
      <c r="A105" t="s">
        <v>68</v>
      </c>
      <c r="B105">
        <v>16146</v>
      </c>
      <c r="C105">
        <v>1</v>
      </c>
      <c r="D105">
        <v>3</v>
      </c>
      <c r="E105">
        <v>1</v>
      </c>
      <c r="F105" t="s">
        <v>193</v>
      </c>
    </row>
    <row r="106" spans="1:6">
      <c r="A106" t="s">
        <v>68</v>
      </c>
      <c r="B106">
        <v>16538</v>
      </c>
      <c r="C106">
        <v>1</v>
      </c>
      <c r="D106">
        <v>3</v>
      </c>
      <c r="E106">
        <v>1</v>
      </c>
      <c r="F106" t="s">
        <v>193</v>
      </c>
    </row>
    <row r="107" spans="1:6">
      <c r="A107" t="s">
        <v>68</v>
      </c>
      <c r="B107">
        <v>16596</v>
      </c>
      <c r="C107">
        <v>1</v>
      </c>
      <c r="D107">
        <v>3</v>
      </c>
      <c r="E107">
        <v>1</v>
      </c>
      <c r="F107" t="s">
        <v>193</v>
      </c>
    </row>
    <row r="108" spans="1:6">
      <c r="A108" t="s">
        <v>68</v>
      </c>
      <c r="B108">
        <v>16705</v>
      </c>
      <c r="C108">
        <v>1</v>
      </c>
      <c r="D108">
        <v>3</v>
      </c>
      <c r="E108">
        <v>1</v>
      </c>
      <c r="F108" t="s">
        <v>193</v>
      </c>
    </row>
    <row r="109" spans="1:6">
      <c r="A109" t="s">
        <v>68</v>
      </c>
      <c r="B109">
        <v>16891</v>
      </c>
      <c r="C109">
        <v>2</v>
      </c>
      <c r="D109">
        <v>3</v>
      </c>
      <c r="E109">
        <v>1</v>
      </c>
      <c r="F109" t="s">
        <v>193</v>
      </c>
    </row>
    <row r="110" spans="1:6">
      <c r="A110" t="s">
        <v>68</v>
      </c>
      <c r="B110">
        <v>17092</v>
      </c>
      <c r="C110">
        <v>2</v>
      </c>
      <c r="D110">
        <v>3</v>
      </c>
      <c r="E110">
        <v>1</v>
      </c>
      <c r="F110" t="s">
        <v>193</v>
      </c>
    </row>
    <row r="111" spans="1:6">
      <c r="A111" t="s">
        <v>68</v>
      </c>
      <c r="B111">
        <v>17309</v>
      </c>
      <c r="C111">
        <v>2</v>
      </c>
      <c r="D111">
        <v>3</v>
      </c>
      <c r="E111">
        <v>1</v>
      </c>
      <c r="F111" t="s">
        <v>193</v>
      </c>
    </row>
    <row r="112" spans="1:6">
      <c r="A112" t="s">
        <v>69</v>
      </c>
      <c r="B112">
        <v>15574</v>
      </c>
      <c r="C112">
        <v>1</v>
      </c>
      <c r="D112">
        <v>3</v>
      </c>
      <c r="E112">
        <v>1</v>
      </c>
      <c r="F112" t="s">
        <v>193</v>
      </c>
    </row>
    <row r="113" spans="1:6">
      <c r="A113" t="s">
        <v>69</v>
      </c>
      <c r="B113">
        <v>15745</v>
      </c>
      <c r="C113">
        <v>1</v>
      </c>
      <c r="D113">
        <v>3</v>
      </c>
      <c r="E113">
        <v>1</v>
      </c>
      <c r="F113" t="s">
        <v>193</v>
      </c>
    </row>
    <row r="114" spans="1:6">
      <c r="A114" t="s">
        <v>69</v>
      </c>
      <c r="B114">
        <v>15920</v>
      </c>
      <c r="C114">
        <v>1</v>
      </c>
      <c r="D114">
        <v>3</v>
      </c>
      <c r="E114">
        <v>1</v>
      </c>
      <c r="F114" t="s">
        <v>193</v>
      </c>
    </row>
    <row r="115" spans="1:6">
      <c r="A115" t="s">
        <v>69</v>
      </c>
      <c r="B115">
        <v>16107</v>
      </c>
      <c r="C115">
        <v>1</v>
      </c>
      <c r="D115">
        <v>3</v>
      </c>
      <c r="E115">
        <v>1</v>
      </c>
      <c r="F115" t="s">
        <v>193</v>
      </c>
    </row>
    <row r="116" spans="1:6">
      <c r="A116" t="s">
        <v>69</v>
      </c>
      <c r="B116">
        <v>16325</v>
      </c>
      <c r="C116">
        <v>1</v>
      </c>
      <c r="D116">
        <v>3</v>
      </c>
      <c r="E116">
        <v>1</v>
      </c>
      <c r="F116" t="s">
        <v>193</v>
      </c>
    </row>
    <row r="117" spans="1:6">
      <c r="A117" t="s">
        <v>69</v>
      </c>
      <c r="B117">
        <v>16690</v>
      </c>
      <c r="C117">
        <v>1</v>
      </c>
      <c r="D117">
        <v>3</v>
      </c>
      <c r="E117">
        <v>1</v>
      </c>
      <c r="F117" t="s">
        <v>193</v>
      </c>
    </row>
    <row r="118" spans="1:6">
      <c r="A118" t="s">
        <v>69</v>
      </c>
      <c r="B118">
        <v>16860</v>
      </c>
      <c r="C118">
        <v>2</v>
      </c>
      <c r="D118">
        <v>3</v>
      </c>
      <c r="E118">
        <v>1</v>
      </c>
      <c r="F118" t="s">
        <v>193</v>
      </c>
    </row>
    <row r="119" spans="1:6">
      <c r="A119" t="s">
        <v>69</v>
      </c>
      <c r="B119">
        <v>17062</v>
      </c>
      <c r="C119">
        <v>2</v>
      </c>
      <c r="D119">
        <v>3</v>
      </c>
      <c r="E119">
        <v>1</v>
      </c>
      <c r="F119" t="s">
        <v>193</v>
      </c>
    </row>
    <row r="120" spans="1:6">
      <c r="A120" t="s">
        <v>69</v>
      </c>
      <c r="B120">
        <v>17237</v>
      </c>
      <c r="C120">
        <v>2</v>
      </c>
      <c r="D120">
        <v>3</v>
      </c>
      <c r="E120">
        <v>1</v>
      </c>
      <c r="F120" t="s">
        <v>193</v>
      </c>
    </row>
    <row r="121" spans="1:6">
      <c r="A121" t="s">
        <v>69</v>
      </c>
      <c r="B121">
        <v>17531</v>
      </c>
      <c r="C121">
        <v>2</v>
      </c>
      <c r="D121">
        <v>3</v>
      </c>
      <c r="E121">
        <v>0</v>
      </c>
      <c r="F121" t="s">
        <v>193</v>
      </c>
    </row>
    <row r="122" spans="1:6">
      <c r="A122" t="s">
        <v>69</v>
      </c>
      <c r="B122">
        <v>15549</v>
      </c>
      <c r="C122">
        <v>1</v>
      </c>
      <c r="D122">
        <v>2</v>
      </c>
      <c r="E122">
        <v>1</v>
      </c>
      <c r="F122" t="s">
        <v>192</v>
      </c>
    </row>
    <row r="123" spans="1:6">
      <c r="A123" t="s">
        <v>69</v>
      </c>
      <c r="B123">
        <v>15716</v>
      </c>
      <c r="C123">
        <v>1</v>
      </c>
      <c r="D123">
        <v>2</v>
      </c>
      <c r="E123">
        <v>1</v>
      </c>
      <c r="F123" t="s">
        <v>192</v>
      </c>
    </row>
    <row r="124" spans="1:6">
      <c r="A124" t="s">
        <v>69</v>
      </c>
      <c r="B124">
        <v>15881</v>
      </c>
      <c r="C124">
        <v>1</v>
      </c>
      <c r="D124">
        <v>2</v>
      </c>
      <c r="E124">
        <v>1</v>
      </c>
      <c r="F124" t="s">
        <v>192</v>
      </c>
    </row>
    <row r="125" spans="1:6">
      <c r="A125" t="s">
        <v>69</v>
      </c>
      <c r="B125">
        <v>16076</v>
      </c>
      <c r="C125">
        <v>1</v>
      </c>
      <c r="D125">
        <v>2</v>
      </c>
      <c r="E125">
        <v>1</v>
      </c>
      <c r="F125" t="s">
        <v>192</v>
      </c>
    </row>
    <row r="126" spans="1:6">
      <c r="A126" t="s">
        <v>69</v>
      </c>
      <c r="B126">
        <v>16823</v>
      </c>
      <c r="C126">
        <v>2</v>
      </c>
      <c r="D126">
        <v>2</v>
      </c>
      <c r="E126">
        <v>1</v>
      </c>
      <c r="F126" t="s">
        <v>192</v>
      </c>
    </row>
    <row r="127" spans="1:6">
      <c r="A127" t="s">
        <v>69</v>
      </c>
      <c r="B127">
        <v>17033</v>
      </c>
      <c r="C127">
        <v>2</v>
      </c>
      <c r="D127">
        <v>2</v>
      </c>
      <c r="E127">
        <v>1</v>
      </c>
      <c r="F127" t="s">
        <v>192</v>
      </c>
    </row>
    <row r="128" spans="1:6">
      <c r="A128" t="s">
        <v>69</v>
      </c>
      <c r="B128">
        <v>17209</v>
      </c>
      <c r="C128">
        <v>2</v>
      </c>
      <c r="D128">
        <v>2</v>
      </c>
      <c r="E128">
        <v>1</v>
      </c>
      <c r="F128" t="s">
        <v>192</v>
      </c>
    </row>
    <row r="129" spans="1:6">
      <c r="A129" t="s">
        <v>73</v>
      </c>
      <c r="B129">
        <v>15905</v>
      </c>
      <c r="C129">
        <v>1</v>
      </c>
      <c r="D129">
        <v>2</v>
      </c>
      <c r="E129">
        <v>1</v>
      </c>
      <c r="F129" t="s">
        <v>192</v>
      </c>
    </row>
    <row r="130" spans="1:6">
      <c r="A130" t="s">
        <v>73</v>
      </c>
      <c r="B130">
        <v>16161</v>
      </c>
      <c r="C130">
        <v>1</v>
      </c>
      <c r="D130">
        <v>2</v>
      </c>
      <c r="E130">
        <v>1</v>
      </c>
      <c r="F130" t="s">
        <v>192</v>
      </c>
    </row>
    <row r="131" spans="1:6">
      <c r="A131" t="s">
        <v>73</v>
      </c>
      <c r="B131">
        <v>15855</v>
      </c>
      <c r="C131">
        <v>1</v>
      </c>
      <c r="D131">
        <v>3</v>
      </c>
      <c r="E131">
        <v>1</v>
      </c>
      <c r="F131" t="s">
        <v>193</v>
      </c>
    </row>
    <row r="132" spans="1:6">
      <c r="A132" t="s">
        <v>73</v>
      </c>
      <c r="B132">
        <v>17034</v>
      </c>
      <c r="C132">
        <v>2</v>
      </c>
      <c r="D132">
        <v>3</v>
      </c>
      <c r="E132">
        <v>1</v>
      </c>
      <c r="F132" t="s">
        <v>193</v>
      </c>
    </row>
    <row r="133" spans="1:6">
      <c r="A133" t="s">
        <v>73</v>
      </c>
      <c r="B133">
        <v>17207</v>
      </c>
      <c r="C133">
        <v>2</v>
      </c>
      <c r="D133">
        <v>3</v>
      </c>
      <c r="E133">
        <v>1</v>
      </c>
      <c r="F133" t="s">
        <v>193</v>
      </c>
    </row>
    <row r="134" spans="1:6">
      <c r="A134" t="s">
        <v>73</v>
      </c>
      <c r="B134">
        <v>17390</v>
      </c>
      <c r="C134">
        <v>2</v>
      </c>
      <c r="D134">
        <v>3</v>
      </c>
      <c r="E134">
        <v>1</v>
      </c>
      <c r="F134" t="s">
        <v>193</v>
      </c>
    </row>
    <row r="135" spans="1:6">
      <c r="A135" t="s">
        <v>74</v>
      </c>
      <c r="B135">
        <v>22603</v>
      </c>
      <c r="C135">
        <v>1</v>
      </c>
      <c r="D135">
        <v>3</v>
      </c>
      <c r="E135">
        <v>1</v>
      </c>
      <c r="F135" t="s">
        <v>193</v>
      </c>
    </row>
    <row r="136" spans="1:6">
      <c r="A136" t="s">
        <v>74</v>
      </c>
      <c r="B136">
        <v>22807</v>
      </c>
      <c r="C136">
        <v>1</v>
      </c>
      <c r="D136">
        <v>3</v>
      </c>
      <c r="E136">
        <v>1</v>
      </c>
      <c r="F136" t="s">
        <v>193</v>
      </c>
    </row>
    <row r="137" spans="1:6">
      <c r="A137" t="s">
        <v>74</v>
      </c>
      <c r="B137">
        <v>23140</v>
      </c>
      <c r="C137">
        <v>1</v>
      </c>
      <c r="D137">
        <v>3</v>
      </c>
      <c r="E137">
        <v>2</v>
      </c>
      <c r="F137" t="s">
        <v>193</v>
      </c>
    </row>
    <row r="138" spans="1:6">
      <c r="A138" t="s">
        <v>74</v>
      </c>
      <c r="B138">
        <v>23979</v>
      </c>
      <c r="C138">
        <v>2</v>
      </c>
      <c r="D138">
        <v>3</v>
      </c>
      <c r="E138">
        <v>2</v>
      </c>
      <c r="F138" t="s">
        <v>193</v>
      </c>
    </row>
    <row r="139" spans="1:6">
      <c r="A139" t="s">
        <v>74</v>
      </c>
      <c r="B139">
        <v>24163</v>
      </c>
      <c r="C139">
        <v>2</v>
      </c>
      <c r="D139">
        <v>3</v>
      </c>
      <c r="E139">
        <v>1</v>
      </c>
      <c r="F139" t="s">
        <v>193</v>
      </c>
    </row>
    <row r="140" spans="1:6">
      <c r="A140" t="s">
        <v>74</v>
      </c>
      <c r="B140">
        <v>24383</v>
      </c>
      <c r="C140">
        <v>2</v>
      </c>
      <c r="D140">
        <v>3</v>
      </c>
      <c r="E140">
        <v>2</v>
      </c>
      <c r="F140" t="s">
        <v>193</v>
      </c>
    </row>
    <row r="141" spans="1:6">
      <c r="A141" t="s">
        <v>74</v>
      </c>
      <c r="B141">
        <v>22725</v>
      </c>
      <c r="C141">
        <v>1</v>
      </c>
      <c r="D141">
        <v>2</v>
      </c>
      <c r="E141">
        <v>2</v>
      </c>
      <c r="F141" t="s">
        <v>192</v>
      </c>
    </row>
    <row r="142" spans="1:6">
      <c r="A142" t="s">
        <v>74</v>
      </c>
      <c r="B142">
        <v>23027</v>
      </c>
      <c r="C142">
        <v>1</v>
      </c>
      <c r="D142">
        <v>2</v>
      </c>
      <c r="E142">
        <v>3</v>
      </c>
      <c r="F142" t="s">
        <v>192</v>
      </c>
    </row>
    <row r="143" spans="1:6">
      <c r="A143" t="s">
        <v>74</v>
      </c>
      <c r="B143">
        <v>23250</v>
      </c>
      <c r="C143">
        <v>1</v>
      </c>
      <c r="D143">
        <v>2</v>
      </c>
      <c r="E143">
        <v>3</v>
      </c>
      <c r="F143" t="s">
        <v>192</v>
      </c>
    </row>
    <row r="144" spans="1:6">
      <c r="A144" t="s">
        <v>74</v>
      </c>
      <c r="B144">
        <v>23507</v>
      </c>
      <c r="C144">
        <v>1</v>
      </c>
      <c r="D144">
        <v>2</v>
      </c>
      <c r="E144">
        <v>3</v>
      </c>
      <c r="F144" t="s">
        <v>192</v>
      </c>
    </row>
    <row r="145" spans="1:6">
      <c r="A145" t="s">
        <v>76</v>
      </c>
      <c r="B145">
        <v>23161</v>
      </c>
      <c r="C145">
        <v>1</v>
      </c>
      <c r="D145">
        <v>2</v>
      </c>
      <c r="E145">
        <v>2</v>
      </c>
      <c r="F145" t="s">
        <v>192</v>
      </c>
    </row>
    <row r="146" spans="1:6">
      <c r="A146" t="s">
        <v>76</v>
      </c>
      <c r="B146">
        <v>23179</v>
      </c>
      <c r="C146">
        <v>1</v>
      </c>
      <c r="D146">
        <v>2</v>
      </c>
      <c r="E146">
        <v>2</v>
      </c>
      <c r="F146" t="s">
        <v>192</v>
      </c>
    </row>
    <row r="147" spans="1:6">
      <c r="A147" t="s">
        <v>76</v>
      </c>
      <c r="B147">
        <v>23625</v>
      </c>
      <c r="C147">
        <v>1</v>
      </c>
      <c r="D147">
        <v>2</v>
      </c>
      <c r="E147">
        <v>1</v>
      </c>
      <c r="F147" t="s">
        <v>192</v>
      </c>
    </row>
    <row r="148" spans="1:6">
      <c r="A148" t="s">
        <v>76</v>
      </c>
      <c r="B148">
        <v>23939</v>
      </c>
      <c r="C148">
        <v>1</v>
      </c>
      <c r="D148">
        <v>2</v>
      </c>
      <c r="E148">
        <v>2</v>
      </c>
      <c r="F148" t="s">
        <v>192</v>
      </c>
    </row>
    <row r="149" spans="1:6">
      <c r="A149" t="s">
        <v>76</v>
      </c>
      <c r="B149">
        <v>22559</v>
      </c>
      <c r="C149">
        <v>1</v>
      </c>
      <c r="D149">
        <v>3</v>
      </c>
      <c r="E149">
        <v>1</v>
      </c>
      <c r="F149" t="s">
        <v>193</v>
      </c>
    </row>
    <row r="150" spans="1:6">
      <c r="A150" t="s">
        <v>77</v>
      </c>
      <c r="B150">
        <v>23643</v>
      </c>
      <c r="C150">
        <v>1</v>
      </c>
      <c r="D150">
        <v>3</v>
      </c>
      <c r="E150">
        <v>1</v>
      </c>
      <c r="F150" t="s">
        <v>193</v>
      </c>
    </row>
    <row r="151" spans="1:6">
      <c r="A151" t="s">
        <v>77</v>
      </c>
      <c r="B151">
        <v>23843</v>
      </c>
      <c r="C151">
        <v>1</v>
      </c>
      <c r="D151">
        <v>3</v>
      </c>
      <c r="E151">
        <v>1</v>
      </c>
      <c r="F151" t="s">
        <v>193</v>
      </c>
    </row>
    <row r="152" spans="1:6">
      <c r="A152" t="s">
        <v>77</v>
      </c>
      <c r="B152">
        <v>24005</v>
      </c>
      <c r="C152">
        <v>1</v>
      </c>
      <c r="D152">
        <v>3</v>
      </c>
      <c r="E152">
        <v>1</v>
      </c>
      <c r="F152" t="s">
        <v>193</v>
      </c>
    </row>
    <row r="153" spans="1:6">
      <c r="A153" t="s">
        <v>77</v>
      </c>
      <c r="B153">
        <v>24364</v>
      </c>
      <c r="C153">
        <v>1</v>
      </c>
      <c r="D153">
        <v>3</v>
      </c>
      <c r="E153">
        <v>1</v>
      </c>
      <c r="F153" t="s">
        <v>193</v>
      </c>
    </row>
    <row r="154" spans="1:6">
      <c r="A154" t="s">
        <v>77</v>
      </c>
      <c r="B154">
        <v>24887</v>
      </c>
      <c r="C154">
        <v>2</v>
      </c>
      <c r="D154">
        <v>3</v>
      </c>
      <c r="E154">
        <v>1</v>
      </c>
      <c r="F154" t="s">
        <v>193</v>
      </c>
    </row>
    <row r="155" spans="1:6">
      <c r="A155" t="s">
        <v>77</v>
      </c>
      <c r="B155">
        <v>25080</v>
      </c>
      <c r="C155">
        <v>2</v>
      </c>
      <c r="D155">
        <v>3</v>
      </c>
      <c r="E155">
        <v>1</v>
      </c>
      <c r="F155" t="s">
        <v>193</v>
      </c>
    </row>
    <row r="156" spans="1:6">
      <c r="A156" t="s">
        <v>77</v>
      </c>
      <c r="B156">
        <v>25256</v>
      </c>
      <c r="C156">
        <v>2</v>
      </c>
      <c r="D156">
        <v>3</v>
      </c>
      <c r="E156">
        <v>1</v>
      </c>
      <c r="F156" t="s">
        <v>193</v>
      </c>
    </row>
    <row r="157" spans="1:6">
      <c r="A157" t="s">
        <v>77</v>
      </c>
      <c r="B157">
        <v>25536</v>
      </c>
      <c r="C157">
        <v>2</v>
      </c>
      <c r="D157">
        <v>3</v>
      </c>
      <c r="E157">
        <v>1</v>
      </c>
      <c r="F157" t="s">
        <v>193</v>
      </c>
    </row>
    <row r="158" spans="1:6">
      <c r="A158" t="s">
        <v>77</v>
      </c>
      <c r="B158">
        <v>23963</v>
      </c>
      <c r="C158">
        <v>1</v>
      </c>
      <c r="D158">
        <v>2</v>
      </c>
      <c r="E158">
        <v>1</v>
      </c>
      <c r="F158" t="s">
        <v>192</v>
      </c>
    </row>
    <row r="159" spans="1:6">
      <c r="A159" t="s">
        <v>77</v>
      </c>
      <c r="B159">
        <v>24121</v>
      </c>
      <c r="C159">
        <v>1</v>
      </c>
      <c r="D159">
        <v>2</v>
      </c>
      <c r="E159">
        <v>1</v>
      </c>
      <c r="F159" t="s">
        <v>192</v>
      </c>
    </row>
    <row r="160" spans="1:6">
      <c r="A160" t="s">
        <v>77</v>
      </c>
      <c r="B160">
        <v>24332</v>
      </c>
      <c r="C160">
        <v>1</v>
      </c>
      <c r="D160">
        <v>2</v>
      </c>
      <c r="E160">
        <v>1</v>
      </c>
      <c r="F160" t="s">
        <v>192</v>
      </c>
    </row>
    <row r="161" spans="1:6">
      <c r="A161" t="s">
        <v>77</v>
      </c>
      <c r="B161">
        <v>25015</v>
      </c>
      <c r="C161">
        <v>2</v>
      </c>
      <c r="D161">
        <v>2</v>
      </c>
      <c r="E161">
        <v>1</v>
      </c>
      <c r="F161" t="s">
        <v>192</v>
      </c>
    </row>
    <row r="162" spans="1:6">
      <c r="A162" t="s">
        <v>77</v>
      </c>
      <c r="B162">
        <v>25181</v>
      </c>
      <c r="C162">
        <v>2</v>
      </c>
      <c r="D162">
        <v>2</v>
      </c>
      <c r="E162">
        <v>1</v>
      </c>
      <c r="F162" t="s">
        <v>192</v>
      </c>
    </row>
    <row r="163" spans="1:6">
      <c r="A163" t="s">
        <v>79</v>
      </c>
      <c r="B163">
        <v>24507</v>
      </c>
      <c r="C163">
        <v>3</v>
      </c>
      <c r="D163">
        <v>2</v>
      </c>
      <c r="E163">
        <v>2</v>
      </c>
      <c r="F163" t="s">
        <v>192</v>
      </c>
    </row>
    <row r="164" spans="1:6">
      <c r="A164" t="s">
        <v>79</v>
      </c>
      <c r="B164">
        <v>24684</v>
      </c>
      <c r="C164">
        <v>3</v>
      </c>
      <c r="D164">
        <v>2</v>
      </c>
      <c r="E164">
        <v>2</v>
      </c>
      <c r="F164" t="s">
        <v>192</v>
      </c>
    </row>
    <row r="165" spans="1:6">
      <c r="A165" t="s">
        <v>79</v>
      </c>
      <c r="B165">
        <v>24880</v>
      </c>
      <c r="C165">
        <v>3</v>
      </c>
      <c r="D165">
        <v>2</v>
      </c>
      <c r="E165">
        <v>2</v>
      </c>
      <c r="F165" t="s">
        <v>192</v>
      </c>
    </row>
    <row r="166" spans="1:6">
      <c r="A166" t="s">
        <v>79</v>
      </c>
      <c r="B166">
        <v>25126</v>
      </c>
      <c r="C166">
        <v>3</v>
      </c>
      <c r="D166">
        <v>2</v>
      </c>
      <c r="E166">
        <v>2</v>
      </c>
      <c r="F166" t="s">
        <v>192</v>
      </c>
    </row>
    <row r="167" spans="1:6">
      <c r="A167" t="s">
        <v>79</v>
      </c>
      <c r="B167">
        <v>25323</v>
      </c>
      <c r="C167">
        <v>3</v>
      </c>
      <c r="D167">
        <v>2</v>
      </c>
      <c r="E167">
        <v>2</v>
      </c>
      <c r="F167" t="s">
        <v>192</v>
      </c>
    </row>
    <row r="168" spans="1:6">
      <c r="A168" t="s">
        <v>79</v>
      </c>
      <c r="B168">
        <v>25899</v>
      </c>
      <c r="C168">
        <v>4</v>
      </c>
      <c r="D168">
        <v>2</v>
      </c>
      <c r="E168">
        <v>2</v>
      </c>
      <c r="F168" t="s">
        <v>192</v>
      </c>
    </row>
    <row r="169" spans="1:6">
      <c r="A169" t="s">
        <v>79</v>
      </c>
      <c r="B169">
        <v>26072</v>
      </c>
      <c r="C169">
        <v>4</v>
      </c>
      <c r="D169">
        <v>2</v>
      </c>
      <c r="E169">
        <v>2</v>
      </c>
      <c r="F169" t="s">
        <v>192</v>
      </c>
    </row>
    <row r="170" spans="1:6">
      <c r="A170" t="s">
        <v>79</v>
      </c>
      <c r="B170">
        <v>24793</v>
      </c>
      <c r="C170">
        <v>3</v>
      </c>
      <c r="D170">
        <v>3</v>
      </c>
      <c r="E170">
        <v>1</v>
      </c>
      <c r="F170" t="s">
        <v>193</v>
      </c>
    </row>
    <row r="171" spans="1:6">
      <c r="A171" t="s">
        <v>79</v>
      </c>
      <c r="B171">
        <v>25394</v>
      </c>
      <c r="C171">
        <v>3</v>
      </c>
      <c r="D171">
        <v>3</v>
      </c>
      <c r="E171">
        <v>1</v>
      </c>
      <c r="F171" t="s">
        <v>193</v>
      </c>
    </row>
    <row r="172" spans="1:6">
      <c r="A172" t="s">
        <v>79</v>
      </c>
      <c r="B172">
        <v>26189</v>
      </c>
      <c r="C172">
        <v>4</v>
      </c>
      <c r="D172">
        <v>3</v>
      </c>
      <c r="E172">
        <v>1</v>
      </c>
      <c r="F172" t="s">
        <v>193</v>
      </c>
    </row>
    <row r="173" spans="1:6">
      <c r="A173" t="s">
        <v>79</v>
      </c>
      <c r="B173">
        <v>26383</v>
      </c>
      <c r="C173">
        <v>4</v>
      </c>
      <c r="D173">
        <v>3</v>
      </c>
      <c r="E173">
        <v>1</v>
      </c>
      <c r="F173" t="s">
        <v>193</v>
      </c>
    </row>
    <row r="174" spans="1:6">
      <c r="A174" t="s">
        <v>79</v>
      </c>
      <c r="B174">
        <v>26575</v>
      </c>
      <c r="C174">
        <v>4</v>
      </c>
      <c r="D174">
        <v>3</v>
      </c>
      <c r="E174">
        <v>1</v>
      </c>
      <c r="F174" t="s">
        <v>193</v>
      </c>
    </row>
    <row r="175" spans="1:6">
      <c r="A175" t="s">
        <v>80</v>
      </c>
      <c r="B175">
        <v>24496</v>
      </c>
      <c r="C175">
        <v>1</v>
      </c>
      <c r="D175">
        <v>2</v>
      </c>
      <c r="E175">
        <v>1</v>
      </c>
      <c r="F175" t="s">
        <v>192</v>
      </c>
    </row>
    <row r="176" spans="1:6">
      <c r="A176" t="s">
        <v>80</v>
      </c>
      <c r="B176">
        <v>25891</v>
      </c>
      <c r="C176">
        <v>2</v>
      </c>
      <c r="D176">
        <v>2</v>
      </c>
      <c r="E176">
        <v>0</v>
      </c>
      <c r="F176" t="s">
        <v>192</v>
      </c>
    </row>
    <row r="177" spans="1:6">
      <c r="A177" t="s">
        <v>80</v>
      </c>
      <c r="B177">
        <v>24307</v>
      </c>
      <c r="C177">
        <v>1</v>
      </c>
      <c r="D177">
        <v>2</v>
      </c>
      <c r="E177">
        <v>2</v>
      </c>
      <c r="F177" t="s">
        <v>192</v>
      </c>
    </row>
    <row r="178" spans="1:6">
      <c r="A178" t="s">
        <v>79</v>
      </c>
      <c r="B178">
        <v>26312</v>
      </c>
      <c r="C178">
        <v>4</v>
      </c>
      <c r="D178">
        <v>2</v>
      </c>
      <c r="E178">
        <v>1</v>
      </c>
      <c r="F178" t="s">
        <v>192</v>
      </c>
    </row>
    <row r="179" spans="1:6">
      <c r="A179" t="s">
        <v>79</v>
      </c>
      <c r="B179">
        <v>26509</v>
      </c>
      <c r="C179">
        <v>4</v>
      </c>
      <c r="D179">
        <v>2</v>
      </c>
      <c r="E179">
        <v>1</v>
      </c>
      <c r="F179" t="s">
        <v>192</v>
      </c>
    </row>
    <row r="180" spans="1:6">
      <c r="A180" s="5" t="s">
        <v>81</v>
      </c>
      <c r="B180">
        <v>24408</v>
      </c>
      <c r="C180">
        <v>1</v>
      </c>
      <c r="D180">
        <v>2</v>
      </c>
      <c r="E180">
        <v>1</v>
      </c>
      <c r="F180" t="s">
        <v>192</v>
      </c>
    </row>
    <row r="181" spans="1:6">
      <c r="A181" s="5" t="s">
        <v>81</v>
      </c>
      <c r="B181">
        <v>24721</v>
      </c>
      <c r="C181">
        <v>1</v>
      </c>
      <c r="D181">
        <v>2</v>
      </c>
      <c r="E181">
        <v>1</v>
      </c>
      <c r="F181" t="s">
        <v>192</v>
      </c>
    </row>
    <row r="182" spans="1:6">
      <c r="A182" s="5" t="s">
        <v>81</v>
      </c>
      <c r="B182">
        <v>25406</v>
      </c>
      <c r="C182">
        <v>2</v>
      </c>
      <c r="D182">
        <v>2</v>
      </c>
      <c r="E182">
        <v>0</v>
      </c>
      <c r="F182" t="s">
        <v>192</v>
      </c>
    </row>
    <row r="183" spans="1:6">
      <c r="A183" s="5" t="s">
        <v>81</v>
      </c>
      <c r="B183">
        <v>26084</v>
      </c>
      <c r="C183">
        <v>2</v>
      </c>
      <c r="D183">
        <v>2</v>
      </c>
      <c r="E183">
        <v>1</v>
      </c>
      <c r="F183" t="s">
        <v>192</v>
      </c>
    </row>
    <row r="184" spans="1:6">
      <c r="A184" s="5" t="s">
        <v>81</v>
      </c>
      <c r="B184">
        <v>24225</v>
      </c>
      <c r="C184">
        <v>1</v>
      </c>
      <c r="D184">
        <v>2</v>
      </c>
      <c r="E184">
        <v>2</v>
      </c>
      <c r="F184" t="s">
        <v>192</v>
      </c>
    </row>
    <row r="185" spans="1:6">
      <c r="A185" s="5" t="s">
        <v>81</v>
      </c>
      <c r="B185">
        <v>25228</v>
      </c>
      <c r="C185">
        <v>1</v>
      </c>
      <c r="D185">
        <v>2</v>
      </c>
      <c r="E185">
        <v>2</v>
      </c>
      <c r="F185" t="s">
        <v>192</v>
      </c>
    </row>
    <row r="186" spans="1:6">
      <c r="A186" s="5" t="s">
        <v>81</v>
      </c>
      <c r="B186">
        <v>25552</v>
      </c>
      <c r="C186">
        <v>2</v>
      </c>
      <c r="D186">
        <v>2</v>
      </c>
      <c r="E186">
        <v>2</v>
      </c>
      <c r="F186" t="s">
        <v>192</v>
      </c>
    </row>
    <row r="187" spans="1:6">
      <c r="A187" s="5" t="s">
        <v>81</v>
      </c>
      <c r="B187">
        <v>24794</v>
      </c>
      <c r="C187">
        <v>1</v>
      </c>
      <c r="D187">
        <v>3</v>
      </c>
      <c r="E187">
        <v>2</v>
      </c>
      <c r="F187" t="s">
        <v>193</v>
      </c>
    </row>
    <row r="188" spans="1:6">
      <c r="A188" s="5" t="s">
        <v>82</v>
      </c>
      <c r="B188">
        <v>19739</v>
      </c>
      <c r="C188">
        <v>1</v>
      </c>
      <c r="D188">
        <v>2</v>
      </c>
      <c r="E188">
        <v>1</v>
      </c>
      <c r="F188" t="s">
        <v>192</v>
      </c>
    </row>
    <row r="189" spans="1:6">
      <c r="A189" s="5" t="s">
        <v>82</v>
      </c>
      <c r="B189">
        <v>19927</v>
      </c>
      <c r="C189">
        <v>1</v>
      </c>
      <c r="D189">
        <v>2</v>
      </c>
      <c r="E189">
        <v>1</v>
      </c>
      <c r="F189" t="s">
        <v>192</v>
      </c>
    </row>
    <row r="190" spans="1:6">
      <c r="A190" s="5" t="s">
        <v>82</v>
      </c>
      <c r="B190">
        <v>20111</v>
      </c>
      <c r="C190">
        <v>1</v>
      </c>
      <c r="D190">
        <v>2</v>
      </c>
      <c r="E190">
        <v>1</v>
      </c>
      <c r="F190" t="s">
        <v>192</v>
      </c>
    </row>
    <row r="191" spans="1:6">
      <c r="A191" s="5" t="s">
        <v>82</v>
      </c>
      <c r="B191">
        <v>20306</v>
      </c>
      <c r="C191">
        <v>1</v>
      </c>
      <c r="D191">
        <v>2</v>
      </c>
      <c r="E191">
        <v>1</v>
      </c>
      <c r="F191" t="s">
        <v>192</v>
      </c>
    </row>
    <row r="192" spans="1:6">
      <c r="A192" s="5" t="s">
        <v>82</v>
      </c>
      <c r="B192">
        <v>21126</v>
      </c>
      <c r="C192">
        <v>2</v>
      </c>
      <c r="D192">
        <v>2</v>
      </c>
      <c r="E192">
        <v>1</v>
      </c>
      <c r="F192" t="s">
        <v>192</v>
      </c>
    </row>
    <row r="193" spans="1:6">
      <c r="A193" s="5" t="s">
        <v>82</v>
      </c>
      <c r="B193">
        <v>21315</v>
      </c>
      <c r="C193">
        <v>2</v>
      </c>
      <c r="D193">
        <v>2</v>
      </c>
      <c r="E193">
        <v>1</v>
      </c>
      <c r="F193" t="s">
        <v>192</v>
      </c>
    </row>
    <row r="194" spans="1:6">
      <c r="A194" s="5" t="s">
        <v>82</v>
      </c>
      <c r="B194">
        <v>19937</v>
      </c>
      <c r="C194">
        <v>1</v>
      </c>
      <c r="D194">
        <v>3</v>
      </c>
      <c r="E194">
        <v>0</v>
      </c>
      <c r="F194" t="s">
        <v>193</v>
      </c>
    </row>
    <row r="195" spans="1:6">
      <c r="A195" s="5" t="s">
        <v>82</v>
      </c>
      <c r="B195">
        <v>20114</v>
      </c>
      <c r="C195">
        <v>1</v>
      </c>
      <c r="D195">
        <v>3</v>
      </c>
      <c r="E195">
        <v>1</v>
      </c>
      <c r="F195" t="s">
        <v>193</v>
      </c>
    </row>
    <row r="196" spans="1:6">
      <c r="A196" s="5" t="s">
        <v>82</v>
      </c>
      <c r="B196">
        <v>21259</v>
      </c>
      <c r="C196">
        <v>2</v>
      </c>
      <c r="D196">
        <v>3</v>
      </c>
      <c r="E196">
        <v>1</v>
      </c>
      <c r="F196" t="s">
        <v>193</v>
      </c>
    </row>
    <row r="197" spans="1:6">
      <c r="A197" s="5" t="s">
        <v>85</v>
      </c>
      <c r="B197">
        <v>12651</v>
      </c>
      <c r="C197">
        <v>1</v>
      </c>
      <c r="D197">
        <v>2</v>
      </c>
      <c r="E197">
        <v>0</v>
      </c>
      <c r="F197" t="s">
        <v>192</v>
      </c>
    </row>
    <row r="198" spans="1:6">
      <c r="A198" s="5" t="s">
        <v>85</v>
      </c>
      <c r="B198">
        <v>12819</v>
      </c>
      <c r="C198">
        <v>1</v>
      </c>
      <c r="D198">
        <v>2</v>
      </c>
      <c r="E198">
        <v>0</v>
      </c>
      <c r="F198" t="s">
        <v>192</v>
      </c>
    </row>
    <row r="199" spans="1:6">
      <c r="A199" s="5" t="s">
        <v>85</v>
      </c>
      <c r="B199">
        <v>12997</v>
      </c>
      <c r="C199">
        <v>1</v>
      </c>
      <c r="D199">
        <v>2</v>
      </c>
      <c r="E199">
        <v>0</v>
      </c>
      <c r="F199" t="s">
        <v>192</v>
      </c>
    </row>
    <row r="200" spans="1:6">
      <c r="A200" s="5" t="s">
        <v>85</v>
      </c>
      <c r="B200">
        <v>13189</v>
      </c>
      <c r="C200">
        <v>2</v>
      </c>
      <c r="D200">
        <v>2</v>
      </c>
      <c r="E200">
        <v>1</v>
      </c>
      <c r="F200" t="s">
        <v>192</v>
      </c>
    </row>
    <row r="201" spans="1:6">
      <c r="A201" s="5" t="s">
        <v>85</v>
      </c>
      <c r="B201">
        <v>13353</v>
      </c>
      <c r="C201">
        <v>2</v>
      </c>
      <c r="D201">
        <v>2</v>
      </c>
      <c r="E201">
        <v>0</v>
      </c>
      <c r="F201" t="s">
        <v>192</v>
      </c>
    </row>
    <row r="202" spans="1:6">
      <c r="A202" s="5" t="s">
        <v>85</v>
      </c>
      <c r="B202">
        <v>14193</v>
      </c>
      <c r="C202">
        <v>3</v>
      </c>
      <c r="D202">
        <v>2</v>
      </c>
      <c r="E202">
        <v>0</v>
      </c>
      <c r="F202" t="s">
        <v>192</v>
      </c>
    </row>
    <row r="203" spans="1:6">
      <c r="A203" s="5" t="s">
        <v>85</v>
      </c>
      <c r="B203">
        <v>14373</v>
      </c>
      <c r="C203">
        <v>3</v>
      </c>
      <c r="D203">
        <v>2</v>
      </c>
      <c r="E203">
        <v>0</v>
      </c>
      <c r="F203" t="s">
        <v>192</v>
      </c>
    </row>
    <row r="204" spans="1:6">
      <c r="A204" s="5" t="s">
        <v>85</v>
      </c>
      <c r="B204">
        <v>14533</v>
      </c>
      <c r="C204">
        <v>4</v>
      </c>
      <c r="D204">
        <v>2</v>
      </c>
      <c r="E204">
        <v>0</v>
      </c>
      <c r="F204" t="s">
        <v>192</v>
      </c>
    </row>
    <row r="205" spans="1:6">
      <c r="A205" s="5" t="s">
        <v>86</v>
      </c>
      <c r="B205">
        <v>14337</v>
      </c>
      <c r="C205">
        <v>1</v>
      </c>
      <c r="D205">
        <v>2</v>
      </c>
      <c r="E205">
        <v>0</v>
      </c>
      <c r="F205" t="s">
        <v>192</v>
      </c>
    </row>
    <row r="206" spans="1:6">
      <c r="A206" s="5" t="s">
        <v>86</v>
      </c>
      <c r="B206">
        <v>14503</v>
      </c>
      <c r="C206">
        <v>1</v>
      </c>
      <c r="D206">
        <v>2</v>
      </c>
      <c r="E206">
        <v>0</v>
      </c>
      <c r="F206" t="s">
        <v>192</v>
      </c>
    </row>
    <row r="207" spans="1:6">
      <c r="A207" s="5" t="s">
        <v>86</v>
      </c>
      <c r="B207">
        <v>15548</v>
      </c>
      <c r="C207">
        <v>2</v>
      </c>
      <c r="D207">
        <v>2</v>
      </c>
      <c r="E207">
        <v>0</v>
      </c>
      <c r="F207" t="s">
        <v>192</v>
      </c>
    </row>
    <row r="208" spans="1:6">
      <c r="A208" s="5" t="s">
        <v>86</v>
      </c>
      <c r="B208">
        <v>16126</v>
      </c>
      <c r="C208">
        <v>2</v>
      </c>
      <c r="D208">
        <v>2</v>
      </c>
      <c r="E208">
        <v>0</v>
      </c>
      <c r="F208" t="s">
        <v>192</v>
      </c>
    </row>
    <row r="209" spans="1:6">
      <c r="A209" s="5" t="s">
        <v>86</v>
      </c>
      <c r="B209">
        <v>16296</v>
      </c>
      <c r="C209">
        <v>3</v>
      </c>
      <c r="D209">
        <v>2</v>
      </c>
      <c r="E209">
        <v>0</v>
      </c>
      <c r="F209" t="s">
        <v>192</v>
      </c>
    </row>
    <row r="210" spans="1:6">
      <c r="A210" s="5" t="s">
        <v>86</v>
      </c>
      <c r="B210">
        <v>16625</v>
      </c>
      <c r="C210">
        <v>3</v>
      </c>
      <c r="D210">
        <v>2</v>
      </c>
      <c r="E210">
        <v>0</v>
      </c>
      <c r="F210" t="s">
        <v>192</v>
      </c>
    </row>
    <row r="211" spans="1:6">
      <c r="A211" s="5" t="s">
        <v>86</v>
      </c>
      <c r="B211">
        <v>17746</v>
      </c>
      <c r="C211">
        <v>4</v>
      </c>
      <c r="D211">
        <v>2</v>
      </c>
      <c r="E211">
        <v>0</v>
      </c>
      <c r="F211" t="s">
        <v>192</v>
      </c>
    </row>
    <row r="212" spans="1:6">
      <c r="A212" s="5" t="s">
        <v>86</v>
      </c>
      <c r="B212">
        <v>18369</v>
      </c>
      <c r="C212">
        <v>5</v>
      </c>
      <c r="D212">
        <v>2</v>
      </c>
      <c r="E212">
        <v>0</v>
      </c>
      <c r="F212" t="s">
        <v>192</v>
      </c>
    </row>
    <row r="213" spans="1:6">
      <c r="A213" s="5" t="s">
        <v>86</v>
      </c>
      <c r="B213">
        <v>16463</v>
      </c>
      <c r="C213">
        <v>3</v>
      </c>
      <c r="D213">
        <v>2</v>
      </c>
      <c r="E213">
        <v>1</v>
      </c>
      <c r="F213" t="s">
        <v>192</v>
      </c>
    </row>
    <row r="214" spans="1:6">
      <c r="A214" s="5" t="s">
        <v>86</v>
      </c>
      <c r="B214">
        <v>16798</v>
      </c>
      <c r="C214">
        <v>0</v>
      </c>
      <c r="D214">
        <v>2</v>
      </c>
      <c r="E214">
        <v>1</v>
      </c>
      <c r="F214" t="s">
        <v>192</v>
      </c>
    </row>
    <row r="215" spans="1:6">
      <c r="A215" s="5" t="s">
        <v>86</v>
      </c>
      <c r="B215">
        <v>16962</v>
      </c>
      <c r="C215">
        <v>0</v>
      </c>
      <c r="D215">
        <v>2</v>
      </c>
      <c r="E215">
        <v>1</v>
      </c>
      <c r="F215" t="s">
        <v>192</v>
      </c>
    </row>
    <row r="216" spans="1:6">
      <c r="A216" s="5" t="s">
        <v>86</v>
      </c>
      <c r="B216">
        <v>17584</v>
      </c>
      <c r="C216">
        <v>4</v>
      </c>
      <c r="D216">
        <v>2</v>
      </c>
      <c r="E216">
        <v>1</v>
      </c>
      <c r="F216" t="s">
        <v>192</v>
      </c>
    </row>
    <row r="217" spans="1:6">
      <c r="A217" s="5" t="s">
        <v>86</v>
      </c>
      <c r="B217">
        <v>18173</v>
      </c>
      <c r="C217">
        <v>5</v>
      </c>
      <c r="D217">
        <v>2</v>
      </c>
      <c r="E217">
        <v>1</v>
      </c>
      <c r="F217" t="s">
        <v>192</v>
      </c>
    </row>
    <row r="218" spans="1:6">
      <c r="A218" t="s">
        <v>89</v>
      </c>
      <c r="B218">
        <v>23728</v>
      </c>
      <c r="C218">
        <v>2</v>
      </c>
      <c r="D218">
        <v>3</v>
      </c>
      <c r="E218">
        <v>1</v>
      </c>
      <c r="F218" t="s">
        <v>193</v>
      </c>
    </row>
    <row r="219" spans="1:6">
      <c r="A219" t="s">
        <v>91</v>
      </c>
      <c r="B219">
        <v>16692</v>
      </c>
      <c r="C219">
        <v>0</v>
      </c>
      <c r="D219">
        <v>2</v>
      </c>
      <c r="E219">
        <v>0</v>
      </c>
      <c r="F219" t="s">
        <v>192</v>
      </c>
    </row>
    <row r="220" spans="1:6">
      <c r="A220" s="5" t="s">
        <v>94</v>
      </c>
      <c r="B220">
        <v>14768</v>
      </c>
      <c r="C220">
        <v>1</v>
      </c>
      <c r="D220">
        <v>2</v>
      </c>
      <c r="E220">
        <v>1</v>
      </c>
      <c r="F220" t="s">
        <v>192</v>
      </c>
    </row>
    <row r="221" spans="1:6">
      <c r="A221" s="5" t="s">
        <v>94</v>
      </c>
      <c r="B221">
        <v>14945</v>
      </c>
      <c r="C221">
        <v>1</v>
      </c>
      <c r="D221">
        <v>2</v>
      </c>
      <c r="E221">
        <v>1</v>
      </c>
      <c r="F221" t="s">
        <v>192</v>
      </c>
    </row>
    <row r="222" spans="1:6">
      <c r="A222" s="5" t="s">
        <v>94</v>
      </c>
      <c r="B222">
        <v>16365</v>
      </c>
      <c r="C222">
        <v>2</v>
      </c>
      <c r="D222">
        <v>2</v>
      </c>
      <c r="E222">
        <v>1</v>
      </c>
      <c r="F222" t="s">
        <v>192</v>
      </c>
    </row>
    <row r="223" spans="1:6">
      <c r="A223" s="5" t="s">
        <v>97</v>
      </c>
      <c r="B223">
        <v>17785</v>
      </c>
      <c r="C223">
        <v>0</v>
      </c>
      <c r="D223">
        <v>2</v>
      </c>
      <c r="E223">
        <v>1</v>
      </c>
      <c r="F223" t="s">
        <v>192</v>
      </c>
    </row>
    <row r="224" spans="1:6">
      <c r="A224" s="5" t="s">
        <v>104</v>
      </c>
      <c r="B224">
        <v>18661</v>
      </c>
      <c r="C224">
        <v>1</v>
      </c>
      <c r="D224">
        <v>2</v>
      </c>
      <c r="E224">
        <v>1</v>
      </c>
      <c r="F224" t="s">
        <v>192</v>
      </c>
    </row>
    <row r="225" spans="1:6">
      <c r="A225" s="5" t="s">
        <v>105</v>
      </c>
      <c r="B225">
        <v>19593</v>
      </c>
      <c r="C225">
        <v>2</v>
      </c>
      <c r="D225">
        <v>2</v>
      </c>
      <c r="E225">
        <v>0</v>
      </c>
      <c r="F225" t="s">
        <v>192</v>
      </c>
    </row>
    <row r="226" spans="1:6">
      <c r="A226" t="s">
        <v>106</v>
      </c>
      <c r="B226">
        <v>18081</v>
      </c>
      <c r="C226">
        <v>1</v>
      </c>
      <c r="D226">
        <v>2</v>
      </c>
      <c r="E226">
        <v>1</v>
      </c>
      <c r="F226" t="s">
        <v>192</v>
      </c>
    </row>
    <row r="227" spans="1:6">
      <c r="A227" t="s">
        <v>106</v>
      </c>
      <c r="B227">
        <v>18242</v>
      </c>
      <c r="C227">
        <v>1</v>
      </c>
      <c r="D227">
        <v>2</v>
      </c>
      <c r="E227">
        <v>1</v>
      </c>
      <c r="F227" t="s">
        <v>192</v>
      </c>
    </row>
    <row r="228" spans="1:6">
      <c r="A228" t="s">
        <v>106</v>
      </c>
      <c r="B228">
        <v>18426</v>
      </c>
      <c r="C228">
        <v>1</v>
      </c>
      <c r="D228">
        <v>2</v>
      </c>
      <c r="E228">
        <v>1</v>
      </c>
      <c r="F228" t="s">
        <v>192</v>
      </c>
    </row>
    <row r="229" spans="1:6">
      <c r="A229" t="s">
        <v>106</v>
      </c>
      <c r="B229">
        <v>19269</v>
      </c>
      <c r="C229">
        <v>2</v>
      </c>
      <c r="D229">
        <v>2</v>
      </c>
      <c r="E229">
        <v>1</v>
      </c>
      <c r="F229" t="s">
        <v>192</v>
      </c>
    </row>
    <row r="230" spans="1:6">
      <c r="A230" t="s">
        <v>106</v>
      </c>
      <c r="B230">
        <v>19441</v>
      </c>
      <c r="C230">
        <v>2</v>
      </c>
      <c r="D230">
        <v>2</v>
      </c>
      <c r="E230">
        <v>1</v>
      </c>
      <c r="F230" t="s">
        <v>192</v>
      </c>
    </row>
    <row r="231" spans="1:6">
      <c r="A231" t="s">
        <v>106</v>
      </c>
      <c r="B231">
        <v>18252</v>
      </c>
      <c r="C231">
        <v>1</v>
      </c>
      <c r="D231">
        <v>3</v>
      </c>
      <c r="E231">
        <v>1</v>
      </c>
      <c r="F231" t="s">
        <v>193</v>
      </c>
    </row>
    <row r="232" spans="1:6">
      <c r="A232" t="s">
        <v>117</v>
      </c>
      <c r="B232">
        <v>19836</v>
      </c>
      <c r="C232">
        <v>1</v>
      </c>
      <c r="D232">
        <v>2</v>
      </c>
      <c r="E232">
        <v>1</v>
      </c>
      <c r="F232" t="s">
        <v>192</v>
      </c>
    </row>
    <row r="233" spans="1:6">
      <c r="A233" t="s">
        <v>117</v>
      </c>
      <c r="B233">
        <v>20004</v>
      </c>
      <c r="C233">
        <v>1</v>
      </c>
      <c r="D233">
        <v>2</v>
      </c>
      <c r="E233">
        <v>1</v>
      </c>
      <c r="F233" t="s">
        <v>192</v>
      </c>
    </row>
    <row r="234" spans="1:6">
      <c r="A234" t="s">
        <v>117</v>
      </c>
      <c r="B234">
        <v>21145</v>
      </c>
      <c r="C234">
        <v>2</v>
      </c>
      <c r="D234">
        <v>3</v>
      </c>
      <c r="E234">
        <v>0</v>
      </c>
      <c r="F234" t="s">
        <v>193</v>
      </c>
    </row>
    <row r="235" spans="1:6">
      <c r="A235" t="s">
        <v>117</v>
      </c>
      <c r="B235">
        <v>21603</v>
      </c>
      <c r="C235">
        <v>2</v>
      </c>
      <c r="D235">
        <v>3</v>
      </c>
      <c r="E235">
        <v>0</v>
      </c>
      <c r="F235" t="s">
        <v>193</v>
      </c>
    </row>
    <row r="236" spans="1:6">
      <c r="A236" t="s">
        <v>117</v>
      </c>
      <c r="B236">
        <v>19843</v>
      </c>
      <c r="C236">
        <v>1</v>
      </c>
      <c r="D236">
        <v>3</v>
      </c>
      <c r="E236">
        <v>1</v>
      </c>
      <c r="F236" t="s">
        <v>193</v>
      </c>
    </row>
    <row r="237" spans="1:6">
      <c r="A237" t="s">
        <v>117</v>
      </c>
      <c r="B237">
        <v>20012</v>
      </c>
      <c r="C237">
        <v>1</v>
      </c>
      <c r="D237">
        <v>3</v>
      </c>
      <c r="E237">
        <v>1</v>
      </c>
      <c r="F237" t="s">
        <v>193</v>
      </c>
    </row>
    <row r="238" spans="1:6">
      <c r="A238" t="s">
        <v>123</v>
      </c>
      <c r="B238">
        <v>19826</v>
      </c>
      <c r="C238">
        <v>1</v>
      </c>
      <c r="D238">
        <v>2</v>
      </c>
      <c r="E238">
        <v>1</v>
      </c>
      <c r="F238" t="s">
        <v>192</v>
      </c>
    </row>
    <row r="239" spans="1:6">
      <c r="A239" t="s">
        <v>123</v>
      </c>
      <c r="B239">
        <v>19855</v>
      </c>
      <c r="C239">
        <v>1</v>
      </c>
      <c r="D239">
        <v>3</v>
      </c>
      <c r="E239">
        <v>1</v>
      </c>
      <c r="F239" t="s">
        <v>193</v>
      </c>
    </row>
    <row r="240" spans="1:6">
      <c r="A240" t="s">
        <v>139</v>
      </c>
      <c r="B240">
        <v>21864</v>
      </c>
      <c r="C240">
        <v>1</v>
      </c>
      <c r="D240">
        <v>3</v>
      </c>
      <c r="E240">
        <v>1</v>
      </c>
      <c r="F240" t="s">
        <v>193</v>
      </c>
    </row>
    <row r="241" spans="1:6">
      <c r="A241" t="s">
        <v>139</v>
      </c>
      <c r="B241">
        <v>22083</v>
      </c>
      <c r="C241">
        <v>1</v>
      </c>
      <c r="D241">
        <v>3</v>
      </c>
      <c r="E241">
        <v>0</v>
      </c>
      <c r="F241" t="s">
        <v>193</v>
      </c>
    </row>
    <row r="242" spans="1:6">
      <c r="A242" t="s">
        <v>139</v>
      </c>
      <c r="B242">
        <v>22285</v>
      </c>
      <c r="C242">
        <v>1</v>
      </c>
      <c r="D242">
        <v>3</v>
      </c>
      <c r="E242">
        <v>1</v>
      </c>
      <c r="F242" t="s">
        <v>193</v>
      </c>
    </row>
    <row r="243" spans="1:6">
      <c r="A243" t="s">
        <v>139</v>
      </c>
      <c r="B243">
        <v>23039</v>
      </c>
      <c r="C243">
        <v>2</v>
      </c>
      <c r="D243">
        <v>3</v>
      </c>
      <c r="E243">
        <v>1</v>
      </c>
      <c r="F243" t="s">
        <v>193</v>
      </c>
    </row>
    <row r="244" spans="1:6">
      <c r="A244" t="s">
        <v>139</v>
      </c>
      <c r="B244">
        <v>23216</v>
      </c>
      <c r="C244">
        <v>2</v>
      </c>
      <c r="D244">
        <v>3</v>
      </c>
      <c r="E244">
        <v>1</v>
      </c>
      <c r="F244" t="s">
        <v>193</v>
      </c>
    </row>
    <row r="245" spans="1:6">
      <c r="A245" t="s">
        <v>140</v>
      </c>
      <c r="B245">
        <v>21827</v>
      </c>
      <c r="C245">
        <v>1</v>
      </c>
      <c r="D245">
        <v>3</v>
      </c>
      <c r="E245">
        <v>1</v>
      </c>
      <c r="F245" t="s">
        <v>193</v>
      </c>
    </row>
    <row r="246" spans="1:6">
      <c r="A246" t="s">
        <v>140</v>
      </c>
      <c r="B246">
        <v>22045</v>
      </c>
      <c r="C246">
        <v>1</v>
      </c>
      <c r="D246">
        <v>3</v>
      </c>
      <c r="E246">
        <v>1</v>
      </c>
      <c r="F246" t="s">
        <v>193</v>
      </c>
    </row>
    <row r="247" spans="1:6">
      <c r="A247" t="s">
        <v>140</v>
      </c>
      <c r="B247">
        <v>21871</v>
      </c>
      <c r="C247">
        <v>1</v>
      </c>
      <c r="D247">
        <v>2</v>
      </c>
      <c r="E247">
        <v>1</v>
      </c>
      <c r="F247" t="s">
        <v>192</v>
      </c>
    </row>
    <row r="248" spans="1:6">
      <c r="A248" t="s">
        <v>141</v>
      </c>
      <c r="B248">
        <v>21975</v>
      </c>
      <c r="C248">
        <v>3</v>
      </c>
      <c r="D248">
        <v>3</v>
      </c>
      <c r="E248">
        <v>1</v>
      </c>
      <c r="F248" t="s">
        <v>193</v>
      </c>
    </row>
    <row r="249" spans="1:6">
      <c r="A249" s="5" t="s">
        <v>180</v>
      </c>
      <c r="B249">
        <v>22374</v>
      </c>
      <c r="C249">
        <v>1</v>
      </c>
      <c r="D249">
        <v>2</v>
      </c>
      <c r="E249">
        <v>1</v>
      </c>
      <c r="F249" t="s">
        <v>192</v>
      </c>
    </row>
    <row r="250" spans="1:6">
      <c r="A250" t="s">
        <v>153</v>
      </c>
      <c r="B250">
        <v>22493</v>
      </c>
      <c r="C250">
        <v>1</v>
      </c>
      <c r="D250">
        <v>3</v>
      </c>
      <c r="E250">
        <v>1</v>
      </c>
      <c r="F250" t="s">
        <v>193</v>
      </c>
    </row>
    <row r="251" spans="1:6">
      <c r="A251" t="s">
        <v>184</v>
      </c>
      <c r="B251">
        <v>23282</v>
      </c>
      <c r="C251">
        <v>1</v>
      </c>
      <c r="D251">
        <v>3</v>
      </c>
      <c r="E251">
        <v>1</v>
      </c>
      <c r="F251" t="s">
        <v>193</v>
      </c>
    </row>
    <row r="252" spans="1:6">
      <c r="A252" t="s">
        <v>184</v>
      </c>
      <c r="B252">
        <v>22832</v>
      </c>
      <c r="C252">
        <v>1</v>
      </c>
      <c r="D252">
        <v>3</v>
      </c>
      <c r="E252">
        <v>1</v>
      </c>
      <c r="F252" t="s">
        <v>193</v>
      </c>
    </row>
    <row r="253" spans="1:6">
      <c r="A253" t="s">
        <v>165</v>
      </c>
      <c r="B253">
        <v>24019</v>
      </c>
      <c r="C253">
        <v>1</v>
      </c>
      <c r="D253">
        <v>3</v>
      </c>
      <c r="E253">
        <v>2</v>
      </c>
      <c r="F253" t="s">
        <v>193</v>
      </c>
    </row>
    <row r="254" spans="1:6">
      <c r="A254" t="s">
        <v>169</v>
      </c>
      <c r="B254">
        <v>29349</v>
      </c>
      <c r="C254">
        <v>1</v>
      </c>
      <c r="D254">
        <v>3</v>
      </c>
      <c r="E254">
        <v>2</v>
      </c>
      <c r="F254" t="s">
        <v>193</v>
      </c>
    </row>
  </sheetData>
  <phoneticPr fontId="1" type="noConversion"/>
  <conditionalFormatting sqref="B1:B1048576">
    <cfRule type="duplicateValues" dxfId="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5667-A350-4B0C-BAA6-A3DCF89898FB}">
  <dimension ref="A1:F26"/>
  <sheetViews>
    <sheetView topLeftCell="A4" workbookViewId="0">
      <selection activeCell="B27" sqref="B27"/>
    </sheetView>
  </sheetViews>
  <sheetFormatPr defaultColWidth="8.75" defaultRowHeight="16.5"/>
  <cols>
    <col min="1" max="1" width="22" customWidth="1"/>
    <col min="2" max="2" width="47.125" customWidth="1"/>
  </cols>
  <sheetData>
    <row r="1" spans="1:2">
      <c r="A1" t="s">
        <v>196</v>
      </c>
      <c r="B1" t="s">
        <v>197</v>
      </c>
    </row>
    <row r="2" spans="1:2">
      <c r="A2" t="s">
        <v>198</v>
      </c>
      <c r="B2" s="10">
        <v>45557</v>
      </c>
    </row>
    <row r="3" spans="1:2">
      <c r="A3" t="s">
        <v>199</v>
      </c>
      <c r="B3" t="s">
        <v>206</v>
      </c>
    </row>
    <row r="4" spans="1:2">
      <c r="A4" t="s">
        <v>200</v>
      </c>
      <c r="B4" t="s">
        <v>201</v>
      </c>
    </row>
    <row r="10" spans="1:2">
      <c r="A10" t="s">
        <v>202</v>
      </c>
    </row>
    <row r="11" spans="1:2" ht="66">
      <c r="B11" s="11" t="s">
        <v>203</v>
      </c>
    </row>
    <row r="12" spans="1:2">
      <c r="B12" t="s">
        <v>207</v>
      </c>
    </row>
    <row r="13" spans="1:2">
      <c r="B13" t="s">
        <v>204</v>
      </c>
    </row>
    <row r="14" spans="1:2">
      <c r="B14" t="s">
        <v>205</v>
      </c>
    </row>
    <row r="17" spans="1:6">
      <c r="A17" t="s">
        <v>194</v>
      </c>
    </row>
    <row r="19" spans="1:6">
      <c r="A19" t="s">
        <v>15</v>
      </c>
      <c r="B19">
        <v>21512</v>
      </c>
      <c r="C19">
        <v>4</v>
      </c>
      <c r="D19">
        <v>2</v>
      </c>
      <c r="E19">
        <v>0</v>
      </c>
      <c r="F19" t="s">
        <v>192</v>
      </c>
    </row>
    <row r="20" spans="1:6">
      <c r="A20" t="s">
        <v>15</v>
      </c>
      <c r="B20">
        <v>21704</v>
      </c>
      <c r="C20">
        <v>4</v>
      </c>
      <c r="D20">
        <v>2</v>
      </c>
      <c r="E20">
        <v>0</v>
      </c>
      <c r="F20" t="s">
        <v>192</v>
      </c>
    </row>
    <row r="21" spans="1:6">
      <c r="A21" t="s">
        <v>15</v>
      </c>
      <c r="B21">
        <v>22881</v>
      </c>
      <c r="C21">
        <v>5</v>
      </c>
      <c r="D21">
        <v>2</v>
      </c>
      <c r="E21">
        <v>0</v>
      </c>
      <c r="F21" t="s">
        <v>192</v>
      </c>
    </row>
    <row r="23" spans="1:6">
      <c r="A23" t="s">
        <v>195</v>
      </c>
    </row>
    <row r="25" spans="1:6">
      <c r="A25" s="10">
        <v>45577</v>
      </c>
    </row>
    <row r="26" spans="1:6">
      <c r="B26" t="s">
        <v>219</v>
      </c>
    </row>
  </sheetData>
  <phoneticPr fontId="1" type="noConversion"/>
  <conditionalFormatting sqref="B19:B21">
    <cfRule type="duplicateValues" dxfId="2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38A8-A6D6-4B0A-B94C-E4D9AB67C5BA}">
  <dimension ref="A1:H281"/>
  <sheetViews>
    <sheetView topLeftCell="A7" workbookViewId="0">
      <selection activeCell="F12" sqref="F12"/>
    </sheetView>
  </sheetViews>
  <sheetFormatPr defaultRowHeight="16.5"/>
  <sheetData>
    <row r="1" spans="1:8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</row>
    <row r="2" spans="1:8">
      <c r="C2">
        <v>189.1121</v>
      </c>
    </row>
    <row r="3" spans="1:8">
      <c r="C3">
        <v>205.1071</v>
      </c>
    </row>
    <row r="4" spans="1:8">
      <c r="C4">
        <v>219.12270000000001</v>
      </c>
    </row>
    <row r="5" spans="1:8">
      <c r="C5">
        <v>246.1336</v>
      </c>
    </row>
    <row r="6" spans="1:8">
      <c r="C6">
        <v>260.14920000000001</v>
      </c>
    </row>
    <row r="7" spans="1:8">
      <c r="C7">
        <v>264.14420000000001</v>
      </c>
    </row>
    <row r="8" spans="1:8">
      <c r="C8">
        <v>278.15980000000002</v>
      </c>
    </row>
    <row r="9" spans="1:8">
      <c r="C9">
        <v>344.17039999999997</v>
      </c>
    </row>
    <row r="10" spans="1:8">
      <c r="C10">
        <v>374.18099999999998</v>
      </c>
    </row>
    <row r="11" spans="1:8">
      <c r="C11">
        <v>376.19659999999999</v>
      </c>
    </row>
    <row r="12" spans="1:8">
      <c r="C12">
        <v>406.2072</v>
      </c>
    </row>
    <row r="13" spans="1:8">
      <c r="C13">
        <v>409.20679999999999</v>
      </c>
    </row>
    <row r="14" spans="1:8">
      <c r="C14">
        <v>420.22280000000001</v>
      </c>
    </row>
    <row r="15" spans="1:8">
      <c r="C15">
        <v>423.22250000000003</v>
      </c>
    </row>
    <row r="16" spans="1:8">
      <c r="C16">
        <v>450.23340000000002</v>
      </c>
    </row>
    <row r="17" spans="3:3">
      <c r="C17">
        <v>452.24900000000002</v>
      </c>
    </row>
    <row r="18" spans="3:3">
      <c r="C18">
        <v>464.24900000000002</v>
      </c>
    </row>
    <row r="19" spans="3:3">
      <c r="C19">
        <v>509.27050000000003</v>
      </c>
    </row>
    <row r="20" spans="3:3">
      <c r="C20">
        <v>523.28610000000003</v>
      </c>
    </row>
    <row r="21" spans="3:3">
      <c r="C21">
        <v>566.28070000000002</v>
      </c>
    </row>
    <row r="22" spans="3:3">
      <c r="C22">
        <v>580.29639999999995</v>
      </c>
    </row>
    <row r="23" spans="3:3">
      <c r="C23">
        <v>596.29129999999998</v>
      </c>
    </row>
    <row r="24" spans="3:3">
      <c r="C24">
        <v>624.32259999999997</v>
      </c>
    </row>
    <row r="25" spans="3:3">
      <c r="C25">
        <v>638.33820000000003</v>
      </c>
    </row>
    <row r="26" spans="3:3">
      <c r="C26">
        <v>654.33309999999994</v>
      </c>
    </row>
    <row r="27" spans="3:3">
      <c r="C27">
        <v>668.34879999999998</v>
      </c>
    </row>
    <row r="28" spans="3:3">
      <c r="C28">
        <v>697.37530000000004</v>
      </c>
    </row>
    <row r="29" spans="3:3">
      <c r="C29">
        <v>713.37030000000004</v>
      </c>
    </row>
    <row r="30" spans="3:3">
      <c r="C30">
        <v>755.89099999999996</v>
      </c>
    </row>
    <row r="31" spans="3:3">
      <c r="C31">
        <v>756.38300000000004</v>
      </c>
    </row>
    <row r="32" spans="3:3">
      <c r="C32">
        <v>770.8963</v>
      </c>
    </row>
    <row r="33" spans="3:3">
      <c r="C33">
        <v>776.8963</v>
      </c>
    </row>
    <row r="34" spans="3:3">
      <c r="C34">
        <v>777.90409999999997</v>
      </c>
    </row>
    <row r="35" spans="3:3">
      <c r="C35">
        <v>784.39670000000001</v>
      </c>
    </row>
    <row r="36" spans="3:3">
      <c r="C36">
        <v>785.90160000000003</v>
      </c>
    </row>
    <row r="37" spans="3:3">
      <c r="C37">
        <v>793.39660000000003</v>
      </c>
    </row>
    <row r="38" spans="3:3">
      <c r="C38">
        <v>798.41740000000004</v>
      </c>
    </row>
    <row r="39" spans="3:3">
      <c r="C39">
        <v>799.40139999999997</v>
      </c>
    </row>
    <row r="40" spans="3:3">
      <c r="C40">
        <v>804.41740000000004</v>
      </c>
    </row>
    <row r="41" spans="3:3">
      <c r="C41">
        <v>806.41489999999999</v>
      </c>
    </row>
    <row r="42" spans="3:3">
      <c r="C42">
        <v>811.40700000000004</v>
      </c>
    </row>
    <row r="43" spans="3:3">
      <c r="C43" s="9">
        <v>814.4067</v>
      </c>
    </row>
    <row r="44" spans="3:3">
      <c r="C44">
        <v>825.42269999999996</v>
      </c>
    </row>
    <row r="45" spans="3:3">
      <c r="C45">
        <v>828.42240000000004</v>
      </c>
    </row>
    <row r="46" spans="3:3">
      <c r="C46">
        <v>834.92</v>
      </c>
    </row>
    <row r="47" spans="3:3">
      <c r="C47">
        <v>842.43799999999999</v>
      </c>
    </row>
    <row r="48" spans="3:3">
      <c r="C48">
        <v>843.42759999999998</v>
      </c>
    </row>
    <row r="49" spans="3:3">
      <c r="C49">
        <v>850.43550000000005</v>
      </c>
    </row>
    <row r="50" spans="3:3">
      <c r="C50">
        <v>857.94090000000006</v>
      </c>
    </row>
    <row r="51" spans="3:3">
      <c r="C51" s="9">
        <v>858.43290000000002</v>
      </c>
    </row>
    <row r="52" spans="3:3">
      <c r="C52">
        <v>863.94090000000006</v>
      </c>
    </row>
    <row r="53" spans="3:3">
      <c r="C53">
        <v>864.43849999999998</v>
      </c>
    </row>
    <row r="54" spans="3:3">
      <c r="C54">
        <v>864.94870000000003</v>
      </c>
    </row>
    <row r="55" spans="3:3">
      <c r="C55">
        <v>871.44640000000004</v>
      </c>
    </row>
    <row r="56" spans="3:3">
      <c r="C56">
        <v>872.44860000000006</v>
      </c>
    </row>
    <row r="57" spans="3:3">
      <c r="C57">
        <v>872.94619999999998</v>
      </c>
    </row>
    <row r="58" spans="3:3">
      <c r="C58">
        <v>878.94619999999998</v>
      </c>
    </row>
    <row r="59" spans="3:3">
      <c r="C59">
        <v>879.95399999999995</v>
      </c>
    </row>
    <row r="60" spans="3:3">
      <c r="C60">
        <v>887.45950000000005</v>
      </c>
    </row>
    <row r="61" spans="3:3">
      <c r="C61">
        <v>887.95150000000001</v>
      </c>
    </row>
    <row r="62" spans="3:3">
      <c r="C62">
        <v>893.45950000000005</v>
      </c>
    </row>
    <row r="63" spans="3:3">
      <c r="C63">
        <v>899.45950000000005</v>
      </c>
    </row>
    <row r="64" spans="3:3">
      <c r="C64">
        <v>900.46730000000002</v>
      </c>
    </row>
    <row r="65" spans="3:3">
      <c r="C65">
        <v>901.45129999999995</v>
      </c>
    </row>
    <row r="66" spans="3:3">
      <c r="C66">
        <v>908.46479999999997</v>
      </c>
    </row>
    <row r="67" spans="3:3">
      <c r="C67">
        <v>916.45659999999998</v>
      </c>
    </row>
    <row r="68" spans="3:3">
      <c r="C68">
        <v>917.47</v>
      </c>
    </row>
    <row r="69" spans="3:3">
      <c r="C69">
        <v>921.96460000000002</v>
      </c>
    </row>
    <row r="70" spans="3:3">
      <c r="C70">
        <v>935.98590000000002</v>
      </c>
    </row>
    <row r="71" spans="3:3">
      <c r="C71">
        <v>936.96990000000005</v>
      </c>
    </row>
    <row r="72" spans="3:3">
      <c r="C72">
        <v>943.97770000000003</v>
      </c>
    </row>
    <row r="73" spans="3:3">
      <c r="C73">
        <v>945.47749999999996</v>
      </c>
    </row>
    <row r="74" spans="3:3">
      <c r="C74">
        <v>951.48310000000004</v>
      </c>
    </row>
    <row r="75" spans="3:3">
      <c r="C75">
        <v>957.48310000000004</v>
      </c>
    </row>
    <row r="76" spans="3:3">
      <c r="C76">
        <v>958.49099999999999</v>
      </c>
    </row>
    <row r="77" spans="3:3">
      <c r="C77">
        <v>959.99080000000004</v>
      </c>
    </row>
    <row r="78" spans="3:3">
      <c r="C78">
        <v>965.99080000000004</v>
      </c>
    </row>
    <row r="79" spans="3:3">
      <c r="C79">
        <v>966.48839999999996</v>
      </c>
    </row>
    <row r="80" spans="3:3">
      <c r="C80">
        <v>966.99860000000001</v>
      </c>
    </row>
    <row r="81" spans="3:3">
      <c r="C81">
        <v>972.99860000000001</v>
      </c>
    </row>
    <row r="82" spans="3:3">
      <c r="C82">
        <v>973.49620000000004</v>
      </c>
    </row>
    <row r="83" spans="3:3">
      <c r="C83">
        <v>974.99609999999996</v>
      </c>
    </row>
    <row r="84" spans="3:3">
      <c r="C84">
        <v>980.50409999999999</v>
      </c>
    </row>
    <row r="85" spans="3:3">
      <c r="C85">
        <v>980.99609999999996</v>
      </c>
    </row>
    <row r="86" spans="3:3">
      <c r="C86">
        <v>981.49369999999999</v>
      </c>
    </row>
    <row r="87" spans="3:3">
      <c r="C87">
        <v>982.00390000000004</v>
      </c>
    </row>
    <row r="88" spans="3:3">
      <c r="C88">
        <v>985.49620000000004</v>
      </c>
    </row>
    <row r="89" spans="3:3">
      <c r="C89">
        <v>995.50940000000003</v>
      </c>
    </row>
    <row r="90" spans="3:3">
      <c r="C90">
        <v>1002.5172</v>
      </c>
    </row>
    <row r="91" spans="3:3">
      <c r="C91">
        <v>1010.5146</v>
      </c>
    </row>
    <row r="92" spans="3:3">
      <c r="C92">
        <v>1015.5068</v>
      </c>
    </row>
    <row r="93" spans="3:3">
      <c r="C93">
        <v>1024.0145</v>
      </c>
    </row>
    <row r="94" spans="3:3">
      <c r="C94">
        <v>1029.5225</v>
      </c>
    </row>
    <row r="95" spans="3:3">
      <c r="C95">
        <v>1030.0382999999999</v>
      </c>
    </row>
    <row r="96" spans="3:3">
      <c r="C96">
        <v>1032.5220999999999</v>
      </c>
    </row>
    <row r="97" spans="3:3">
      <c r="C97">
        <v>1039.0198</v>
      </c>
    </row>
    <row r="98" spans="3:3">
      <c r="C98">
        <v>1044.5277000000001</v>
      </c>
    </row>
    <row r="99" spans="3:3">
      <c r="C99">
        <v>1045.5174</v>
      </c>
    </row>
    <row r="100" spans="3:3">
      <c r="C100">
        <v>1046.0275999999999</v>
      </c>
    </row>
    <row r="101" spans="3:3">
      <c r="C101">
        <v>1053.5329999999999</v>
      </c>
    </row>
    <row r="102" spans="3:3">
      <c r="C102">
        <v>1059.5329999999999</v>
      </c>
    </row>
    <row r="103" spans="3:3">
      <c r="C103">
        <v>1060.5409</v>
      </c>
    </row>
    <row r="104" spans="3:3">
      <c r="C104">
        <v>1062.5327</v>
      </c>
    </row>
    <row r="105" spans="3:3">
      <c r="C105">
        <v>1066.5409</v>
      </c>
    </row>
    <row r="106" spans="3:3">
      <c r="C106">
        <v>1068.0407</v>
      </c>
    </row>
    <row r="107" spans="3:3">
      <c r="C107">
        <v>1068.5382999999999</v>
      </c>
    </row>
    <row r="108" spans="3:3">
      <c r="C108">
        <v>1069.0485000000001</v>
      </c>
    </row>
    <row r="109" spans="3:3">
      <c r="C109">
        <v>1075.5461</v>
      </c>
    </row>
    <row r="110" spans="3:3">
      <c r="C110">
        <v>1082.5540000000001</v>
      </c>
    </row>
    <row r="111" spans="3:3">
      <c r="C111">
        <v>1083.5436</v>
      </c>
    </row>
    <row r="112" spans="3:3">
      <c r="C112">
        <v>1089.0516</v>
      </c>
    </row>
    <row r="113" spans="3:3">
      <c r="C113">
        <v>1091.5591999999999</v>
      </c>
    </row>
    <row r="114" spans="3:3">
      <c r="C114">
        <v>1097.5591999999999</v>
      </c>
    </row>
    <row r="115" spans="3:3">
      <c r="C115">
        <v>1103.5591999999999</v>
      </c>
    </row>
    <row r="116" spans="3:3">
      <c r="C116">
        <v>1104.5671</v>
      </c>
    </row>
    <row r="117" spans="3:3">
      <c r="C117">
        <v>1111.0590999999999</v>
      </c>
    </row>
    <row r="118" spans="3:3">
      <c r="C118">
        <v>1112.5645</v>
      </c>
    </row>
    <row r="119" spans="3:3">
      <c r="C119">
        <v>1117.5567000000001</v>
      </c>
    </row>
    <row r="120" spans="3:3">
      <c r="C120">
        <v>1121.5698</v>
      </c>
    </row>
    <row r="121" spans="3:3">
      <c r="C121">
        <v>1124.5645</v>
      </c>
    </row>
    <row r="122" spans="3:3">
      <c r="C122">
        <v>1126.5907</v>
      </c>
    </row>
    <row r="123" spans="3:3">
      <c r="C123">
        <v>1132.5858000000001</v>
      </c>
    </row>
    <row r="124" spans="3:3">
      <c r="C124">
        <v>1133.0722000000001</v>
      </c>
    </row>
    <row r="125" spans="3:3">
      <c r="C125">
        <v>1141.0696</v>
      </c>
    </row>
    <row r="126" spans="3:3">
      <c r="C126">
        <v>1144.5858000000001</v>
      </c>
    </row>
    <row r="127" spans="3:3">
      <c r="C127">
        <v>1146.5776000000001</v>
      </c>
    </row>
    <row r="128" spans="3:3">
      <c r="C128">
        <v>1161.5829000000001</v>
      </c>
    </row>
    <row r="129" spans="3:3">
      <c r="C129">
        <v>1162.5907</v>
      </c>
    </row>
    <row r="130" spans="3:3">
      <c r="C130">
        <v>1162.5963999999999</v>
      </c>
    </row>
    <row r="131" spans="3:3">
      <c r="C131">
        <v>1168.5907</v>
      </c>
    </row>
    <row r="132" spans="3:3">
      <c r="C132">
        <v>1176.0962</v>
      </c>
    </row>
    <row r="133" spans="3:3">
      <c r="C133">
        <v>1177.596</v>
      </c>
    </row>
    <row r="134" spans="3:3">
      <c r="C134">
        <v>1183.104</v>
      </c>
    </row>
    <row r="135" spans="3:3">
      <c r="C135">
        <v>1184.6038000000001</v>
      </c>
    </row>
    <row r="136" spans="3:3">
      <c r="C136">
        <v>1189.596</v>
      </c>
    </row>
    <row r="137" spans="3:3">
      <c r="C137">
        <v>1191.1015</v>
      </c>
    </row>
    <row r="138" spans="3:3">
      <c r="C138">
        <v>1191.6116999999999</v>
      </c>
    </row>
    <row r="139" spans="3:3">
      <c r="C139">
        <v>1198.1093000000001</v>
      </c>
    </row>
    <row r="140" spans="3:3">
      <c r="C140">
        <v>1198.6195</v>
      </c>
    </row>
    <row r="141" spans="3:3">
      <c r="C141">
        <v>1199.6090999999999</v>
      </c>
    </row>
    <row r="142" spans="3:3">
      <c r="C142">
        <v>1203.6116999999999</v>
      </c>
    </row>
    <row r="143" spans="3:3">
      <c r="C143">
        <v>1206.617</v>
      </c>
    </row>
    <row r="144" spans="3:3">
      <c r="C144" s="9">
        <v>1219.6066000000001</v>
      </c>
    </row>
    <row r="145" spans="3:3">
      <c r="C145">
        <v>1226.6143999999999</v>
      </c>
    </row>
    <row r="146" spans="3:3">
      <c r="C146" s="9">
        <v>1233.6222</v>
      </c>
    </row>
    <row r="147" spans="3:3">
      <c r="C147">
        <v>1236.6219000000001</v>
      </c>
    </row>
    <row r="148" spans="3:3">
      <c r="C148">
        <v>1240.1198999999999</v>
      </c>
    </row>
    <row r="149" spans="3:3">
      <c r="C149">
        <v>1247.1277</v>
      </c>
    </row>
    <row r="150" spans="3:3">
      <c r="C150">
        <v>1248.6275000000001</v>
      </c>
    </row>
    <row r="151" spans="3:3">
      <c r="C151">
        <v>1249.6171999999999</v>
      </c>
    </row>
    <row r="152" spans="3:3">
      <c r="C152">
        <v>1255.6352999999999</v>
      </c>
    </row>
    <row r="153" spans="3:3">
      <c r="C153">
        <v>1263.1407999999999</v>
      </c>
    </row>
    <row r="154" spans="3:3">
      <c r="C154">
        <v>1263.6328000000001</v>
      </c>
    </row>
    <row r="155" spans="3:3">
      <c r="C155">
        <v>1266.6324999999999</v>
      </c>
    </row>
    <row r="156" spans="3:3">
      <c r="C156">
        <v>1270.1486</v>
      </c>
    </row>
    <row r="157" spans="3:3">
      <c r="C157">
        <v>1277.6485</v>
      </c>
    </row>
    <row r="158" spans="3:3">
      <c r="C158">
        <v>1278.1460999999999</v>
      </c>
    </row>
    <row r="159" spans="3:3">
      <c r="C159">
        <v>1285.1539</v>
      </c>
    </row>
    <row r="160" spans="3:3">
      <c r="C160">
        <v>1292.1617000000001</v>
      </c>
    </row>
    <row r="161" spans="3:3">
      <c r="C161">
        <v>1293.1514</v>
      </c>
    </row>
    <row r="162" spans="3:3">
      <c r="C162">
        <v>1293.6615999999999</v>
      </c>
    </row>
    <row r="163" spans="3:3">
      <c r="C163">
        <v>1295.6590000000001</v>
      </c>
    </row>
    <row r="164" spans="3:3">
      <c r="C164">
        <v>1300.1592000000001</v>
      </c>
    </row>
    <row r="165" spans="3:3">
      <c r="C165">
        <v>1301.6590000000001</v>
      </c>
    </row>
    <row r="166" spans="3:3">
      <c r="C166">
        <v>1307.6590000000001</v>
      </c>
    </row>
    <row r="167" spans="3:3">
      <c r="C167">
        <v>1315.1587999999999</v>
      </c>
    </row>
    <row r="168" spans="3:3">
      <c r="C168">
        <v>1328.6642999999999</v>
      </c>
    </row>
    <row r="169" spans="3:3">
      <c r="C169">
        <v>1330.1641</v>
      </c>
    </row>
    <row r="170" spans="3:3">
      <c r="C170">
        <v>1336.6856</v>
      </c>
    </row>
    <row r="171" spans="3:3">
      <c r="C171">
        <v>1342.1696999999999</v>
      </c>
    </row>
    <row r="172" spans="3:3">
      <c r="C172">
        <v>1348.6856</v>
      </c>
    </row>
    <row r="173" spans="3:3">
      <c r="C173">
        <v>1349.1776</v>
      </c>
    </row>
    <row r="174" spans="3:3">
      <c r="C174">
        <v>1362.7012</v>
      </c>
    </row>
    <row r="175" spans="3:3">
      <c r="C175">
        <v>1366.6960999999999</v>
      </c>
    </row>
    <row r="176" spans="3:3">
      <c r="C176">
        <v>1371.6883</v>
      </c>
    </row>
    <row r="177" spans="3:3">
      <c r="C177">
        <v>1372.1985</v>
      </c>
    </row>
    <row r="178" spans="3:3">
      <c r="C178">
        <v>1378.6960999999999</v>
      </c>
    </row>
    <row r="179" spans="3:3">
      <c r="C179">
        <v>1380.1959999999999</v>
      </c>
    </row>
    <row r="180" spans="3:3">
      <c r="C180">
        <v>1387.2038</v>
      </c>
    </row>
    <row r="181" spans="3:3">
      <c r="C181">
        <v>1388.7036000000001</v>
      </c>
    </row>
    <row r="182" spans="3:3">
      <c r="C182">
        <v>1393.6958</v>
      </c>
    </row>
    <row r="183" spans="3:3">
      <c r="C183">
        <v>1394.2116000000001</v>
      </c>
    </row>
    <row r="184" spans="3:3">
      <c r="C184">
        <v>1395.2012</v>
      </c>
    </row>
    <row r="185" spans="3:3">
      <c r="C185">
        <v>1407.7113999999999</v>
      </c>
    </row>
    <row r="186" spans="3:3">
      <c r="C186">
        <v>1407.7227</v>
      </c>
    </row>
    <row r="187" spans="3:3">
      <c r="C187">
        <v>1408.7011</v>
      </c>
    </row>
    <row r="188" spans="3:3">
      <c r="C188" s="9">
        <v>1423.7064</v>
      </c>
    </row>
    <row r="189" spans="3:3">
      <c r="C189" s="9">
        <v>1437.722</v>
      </c>
    </row>
    <row r="190" spans="3:3">
      <c r="C190">
        <v>1440.7217000000001</v>
      </c>
    </row>
    <row r="191" spans="3:3">
      <c r="C191">
        <v>1451.2275</v>
      </c>
    </row>
    <row r="192" spans="3:3">
      <c r="C192">
        <v>1452.7273</v>
      </c>
    </row>
    <row r="193" spans="3:3">
      <c r="C193">
        <v>1458.7329</v>
      </c>
    </row>
    <row r="194" spans="3:3">
      <c r="C194">
        <v>1464.7329</v>
      </c>
    </row>
    <row r="195" spans="3:3">
      <c r="C195">
        <v>1465.7407000000001</v>
      </c>
    </row>
    <row r="196" spans="3:3">
      <c r="C196">
        <v>1467.2406000000001</v>
      </c>
    </row>
    <row r="197" spans="3:3">
      <c r="C197">
        <v>1472.7485999999999</v>
      </c>
    </row>
    <row r="198" spans="3:3">
      <c r="C198">
        <v>1473.7382</v>
      </c>
    </row>
    <row r="199" spans="3:3">
      <c r="C199">
        <v>1480.7460000000001</v>
      </c>
    </row>
    <row r="200" spans="3:3">
      <c r="C200">
        <v>1481.2562</v>
      </c>
    </row>
    <row r="201" spans="3:3">
      <c r="C201">
        <v>1481.7482</v>
      </c>
    </row>
    <row r="202" spans="3:3">
      <c r="C202">
        <v>1482.2457999999999</v>
      </c>
    </row>
    <row r="203" spans="3:3">
      <c r="C203">
        <v>1489.2537</v>
      </c>
    </row>
    <row r="204" spans="3:3">
      <c r="C204">
        <v>1497.2511</v>
      </c>
    </row>
    <row r="205" spans="3:3">
      <c r="C205">
        <v>1502.7535</v>
      </c>
    </row>
    <row r="206" spans="3:3">
      <c r="C206">
        <v>1510.7747999999999</v>
      </c>
    </row>
    <row r="207" spans="3:3">
      <c r="C207">
        <v>1511.7588000000001</v>
      </c>
    </row>
    <row r="208" spans="3:3">
      <c r="C208">
        <v>1516.259</v>
      </c>
    </row>
    <row r="209" spans="3:3">
      <c r="C209">
        <v>1517.7588000000001</v>
      </c>
    </row>
    <row r="210" spans="3:3">
      <c r="C210">
        <v>1531.2642000000001</v>
      </c>
    </row>
    <row r="211" spans="3:3">
      <c r="C211">
        <v>1532.7641000000001</v>
      </c>
    </row>
    <row r="212" spans="3:3">
      <c r="C212">
        <v>1540.7853</v>
      </c>
    </row>
    <row r="213" spans="3:3">
      <c r="C213">
        <v>1545.7774999999999</v>
      </c>
    </row>
    <row r="214" spans="3:3">
      <c r="C214">
        <v>1546.2695000000001</v>
      </c>
    </row>
    <row r="215" spans="3:3">
      <c r="C215">
        <v>1552.7853</v>
      </c>
    </row>
    <row r="216" spans="3:3">
      <c r="C216">
        <v>1554.8009999999999</v>
      </c>
    </row>
    <row r="217" spans="3:3">
      <c r="C217">
        <v>1560.7828</v>
      </c>
    </row>
    <row r="218" spans="3:3">
      <c r="C218">
        <v>1561.2747999999999</v>
      </c>
    </row>
    <row r="219" spans="3:3">
      <c r="C219">
        <v>1567.7906</v>
      </c>
    </row>
    <row r="220" spans="3:3">
      <c r="C220">
        <v>1570.7959000000001</v>
      </c>
    </row>
    <row r="221" spans="3:3">
      <c r="C221">
        <v>1574.7893999999999</v>
      </c>
    </row>
    <row r="222" spans="3:3">
      <c r="C222">
        <v>1575.7881</v>
      </c>
    </row>
    <row r="223" spans="3:3">
      <c r="C223">
        <v>1576.2982999999999</v>
      </c>
    </row>
    <row r="224" spans="3:3">
      <c r="C224">
        <v>1582.7959000000001</v>
      </c>
    </row>
    <row r="225" spans="3:3">
      <c r="C225">
        <v>1590.7934</v>
      </c>
    </row>
    <row r="226" spans="3:3">
      <c r="C226">
        <v>1591.3036</v>
      </c>
    </row>
    <row r="227" spans="3:3">
      <c r="C227">
        <v>1595.8275000000001</v>
      </c>
    </row>
    <row r="228" spans="3:3">
      <c r="C228">
        <v>1597.7955999999999</v>
      </c>
    </row>
    <row r="229" spans="3:3">
      <c r="C229">
        <v>1605.7986000000001</v>
      </c>
    </row>
    <row r="230" spans="3:3">
      <c r="C230">
        <v>1607.8275000000001</v>
      </c>
    </row>
    <row r="231" spans="3:3">
      <c r="C231">
        <v>1611.8225</v>
      </c>
    </row>
    <row r="232" spans="3:3">
      <c r="C232">
        <v>1625.3167000000001</v>
      </c>
    </row>
    <row r="233" spans="3:3">
      <c r="C233">
        <v>1627.8061</v>
      </c>
    </row>
    <row r="234" spans="3:3">
      <c r="C234">
        <v>1640.3219999999999</v>
      </c>
    </row>
    <row r="235" spans="3:3">
      <c r="C235">
        <v>1654.8352</v>
      </c>
    </row>
    <row r="236" spans="3:3">
      <c r="C236">
        <v>1655.3271999999999</v>
      </c>
    </row>
    <row r="237" spans="3:3">
      <c r="C237">
        <v>1668.8326999999999</v>
      </c>
    </row>
    <row r="238" spans="3:3">
      <c r="C238">
        <v>1669.8405</v>
      </c>
    </row>
    <row r="239" spans="3:3">
      <c r="C239">
        <v>1676.8483000000001</v>
      </c>
    </row>
    <row r="240" spans="3:3">
      <c r="C240">
        <v>1684.8458000000001</v>
      </c>
    </row>
    <row r="241" spans="3:3">
      <c r="C241">
        <v>1685.848</v>
      </c>
    </row>
    <row r="242" spans="3:3">
      <c r="C242">
        <v>1699.8511000000001</v>
      </c>
    </row>
    <row r="243" spans="3:3">
      <c r="C243">
        <v>1699.8635999999999</v>
      </c>
    </row>
    <row r="244" spans="3:3">
      <c r="C244">
        <v>1714.8744999999999</v>
      </c>
    </row>
    <row r="245" spans="3:3">
      <c r="C245">
        <v>1715.8586</v>
      </c>
    </row>
    <row r="246" spans="3:3">
      <c r="C246">
        <v>1726.8744999999999</v>
      </c>
    </row>
    <row r="247" spans="3:3">
      <c r="C247">
        <v>1727.8697999999999</v>
      </c>
    </row>
    <row r="248" spans="3:3">
      <c r="C248">
        <v>1728.8902</v>
      </c>
    </row>
    <row r="249" spans="3:3">
      <c r="C249">
        <v>1741.8853999999999</v>
      </c>
    </row>
    <row r="250" spans="3:3">
      <c r="C250">
        <v>1744.8851</v>
      </c>
    </row>
    <row r="251" spans="3:3">
      <c r="C251">
        <v>1756.8851</v>
      </c>
    </row>
    <row r="252" spans="3:3">
      <c r="C252">
        <v>1758.9007999999999</v>
      </c>
    </row>
    <row r="253" spans="3:3">
      <c r="C253">
        <v>1763.8929000000001</v>
      </c>
    </row>
    <row r="254" spans="3:3">
      <c r="C254">
        <v>1774.8957</v>
      </c>
    </row>
    <row r="255" spans="3:3">
      <c r="C255">
        <v>1778.8982000000001</v>
      </c>
    </row>
    <row r="256" spans="3:3">
      <c r="C256">
        <v>1785.9117000000001</v>
      </c>
    </row>
    <row r="257" spans="3:3">
      <c r="C257">
        <v>1793.9034999999999</v>
      </c>
    </row>
    <row r="258" spans="3:3">
      <c r="C258">
        <v>1799.9273000000001</v>
      </c>
    </row>
    <row r="259" spans="3:3">
      <c r="C259">
        <v>1801.8952999999999</v>
      </c>
    </row>
    <row r="260" spans="3:3">
      <c r="C260">
        <v>1815.9222</v>
      </c>
    </row>
    <row r="261" spans="3:3">
      <c r="C261">
        <v>1831.9059</v>
      </c>
    </row>
    <row r="262" spans="3:3">
      <c r="C262">
        <v>1842.9219000000001</v>
      </c>
    </row>
    <row r="263" spans="3:3">
      <c r="C263">
        <v>1870.9644000000001</v>
      </c>
    </row>
    <row r="264" spans="3:3">
      <c r="C264">
        <v>1872.9324999999999</v>
      </c>
    </row>
    <row r="265" spans="3:3">
      <c r="C265">
        <v>1886.9481000000001</v>
      </c>
    </row>
    <row r="266" spans="3:3">
      <c r="C266">
        <v>1889.9477999999999</v>
      </c>
    </row>
    <row r="267" spans="3:3">
      <c r="C267">
        <v>1901.9590000000001</v>
      </c>
    </row>
    <row r="268" spans="3:3">
      <c r="C268">
        <v>1913.9590000000001</v>
      </c>
    </row>
    <row r="269" spans="3:3">
      <c r="C269">
        <v>1915.9747</v>
      </c>
    </row>
    <row r="270" spans="3:3">
      <c r="C270">
        <v>1918.9743000000001</v>
      </c>
    </row>
    <row r="271" spans="3:3">
      <c r="C271">
        <v>1930.9743000000001</v>
      </c>
    </row>
    <row r="272" spans="3:3">
      <c r="C272">
        <v>1931.9695999999999</v>
      </c>
    </row>
    <row r="273" spans="3:3">
      <c r="C273">
        <v>1932.99</v>
      </c>
    </row>
    <row r="274" spans="3:3">
      <c r="C274">
        <v>1944.99</v>
      </c>
    </row>
    <row r="275" spans="3:3">
      <c r="C275">
        <v>1945.9852000000001</v>
      </c>
    </row>
    <row r="276" spans="3:3">
      <c r="C276">
        <v>1948.9848999999999</v>
      </c>
    </row>
    <row r="277" spans="3:3">
      <c r="C277">
        <v>1960.0009</v>
      </c>
    </row>
    <row r="278" spans="3:3">
      <c r="C278">
        <v>1960.9848999999999</v>
      </c>
    </row>
    <row r="279" spans="3:3">
      <c r="C279">
        <v>1961.9801</v>
      </c>
    </row>
    <row r="280" spans="3:3">
      <c r="C280">
        <v>1963.0005000000001</v>
      </c>
    </row>
    <row r="281" spans="3:3">
      <c r="C281">
        <v>1990.0114000000001</v>
      </c>
    </row>
  </sheetData>
  <phoneticPr fontId="1" type="noConversion"/>
  <conditionalFormatting sqref="C1:C1048576">
    <cfRule type="duplicateValues" dxfId="2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45E-1072-2846-931F-4380EF662B8A}">
  <dimension ref="A1:D137"/>
  <sheetViews>
    <sheetView workbookViewId="0">
      <selection activeCell="D109" sqref="D109"/>
    </sheetView>
  </sheetViews>
  <sheetFormatPr defaultColWidth="11" defaultRowHeight="16.5"/>
  <sheetData>
    <row r="1" spans="1:4">
      <c r="A1" s="2" t="s">
        <v>25</v>
      </c>
    </row>
    <row r="2" spans="1:4">
      <c r="A2" s="2" t="s">
        <v>37</v>
      </c>
      <c r="D2" s="2" t="s">
        <v>25</v>
      </c>
    </row>
    <row r="3" spans="1:4">
      <c r="A3" s="2" t="s">
        <v>37</v>
      </c>
      <c r="D3" s="2" t="s">
        <v>37</v>
      </c>
    </row>
    <row r="4" spans="1:4">
      <c r="A4" s="2" t="s">
        <v>37</v>
      </c>
      <c r="D4" s="2" t="s">
        <v>31</v>
      </c>
    </row>
    <row r="5" spans="1:4">
      <c r="A5" s="2" t="s">
        <v>37</v>
      </c>
      <c r="D5" s="2" t="s">
        <v>43</v>
      </c>
    </row>
    <row r="6" spans="1:4">
      <c r="A6" s="2" t="s">
        <v>31</v>
      </c>
      <c r="D6" s="2" t="s">
        <v>44</v>
      </c>
    </row>
    <row r="7" spans="1:4">
      <c r="A7" s="2" t="s">
        <v>31</v>
      </c>
      <c r="D7" s="2" t="s">
        <v>32</v>
      </c>
    </row>
    <row r="8" spans="1:4">
      <c r="A8" s="2" t="s">
        <v>31</v>
      </c>
      <c r="D8" s="2" t="s">
        <v>33</v>
      </c>
    </row>
    <row r="9" spans="1:4">
      <c r="A9" s="2" t="s">
        <v>31</v>
      </c>
      <c r="D9" s="2" t="s">
        <v>35</v>
      </c>
    </row>
    <row r="10" spans="1:4">
      <c r="A10" s="2" t="s">
        <v>43</v>
      </c>
      <c r="D10" s="2" t="s">
        <v>38</v>
      </c>
    </row>
    <row r="11" spans="1:4">
      <c r="A11" s="2" t="s">
        <v>44</v>
      </c>
      <c r="D11" s="3" t="s">
        <v>34</v>
      </c>
    </row>
    <row r="12" spans="1:4">
      <c r="A12" s="2" t="s">
        <v>44</v>
      </c>
      <c r="D12" s="2" t="s">
        <v>39</v>
      </c>
    </row>
    <row r="13" spans="1:4">
      <c r="A13" s="2" t="s">
        <v>32</v>
      </c>
      <c r="D13" s="2" t="s">
        <v>36</v>
      </c>
    </row>
    <row r="14" spans="1:4">
      <c r="A14" s="2" t="s">
        <v>32</v>
      </c>
      <c r="D14" s="2" t="s">
        <v>41</v>
      </c>
    </row>
    <row r="15" spans="1:4">
      <c r="A15" s="2" t="s">
        <v>32</v>
      </c>
      <c r="D15" s="2" t="s">
        <v>40</v>
      </c>
    </row>
    <row r="16" spans="1:4">
      <c r="A16" s="2" t="s">
        <v>32</v>
      </c>
      <c r="D16" s="2" t="s">
        <v>42</v>
      </c>
    </row>
    <row r="17" spans="1:4">
      <c r="A17" s="2" t="s">
        <v>32</v>
      </c>
      <c r="D17" s="2" t="s">
        <v>26</v>
      </c>
    </row>
    <row r="18" spans="1:4">
      <c r="A18" s="2" t="s">
        <v>32</v>
      </c>
      <c r="D18" s="2" t="s">
        <v>30</v>
      </c>
    </row>
    <row r="19" spans="1:4">
      <c r="A19" s="2" t="s">
        <v>32</v>
      </c>
      <c r="D19" s="2" t="s">
        <v>27</v>
      </c>
    </row>
    <row r="20" spans="1:4">
      <c r="A20" s="2" t="s">
        <v>32</v>
      </c>
      <c r="D20" s="2" t="s">
        <v>28</v>
      </c>
    </row>
    <row r="21" spans="1:4">
      <c r="A21" s="2" t="s">
        <v>32</v>
      </c>
      <c r="D21" s="2" t="s">
        <v>45</v>
      </c>
    </row>
    <row r="22" spans="1:4">
      <c r="A22" s="2" t="s">
        <v>32</v>
      </c>
      <c r="D22" s="2" t="s">
        <v>29</v>
      </c>
    </row>
    <row r="23" spans="1:4">
      <c r="A23" s="2" t="s">
        <v>33</v>
      </c>
    </row>
    <row r="24" spans="1:4">
      <c r="A24" s="2" t="s">
        <v>33</v>
      </c>
    </row>
    <row r="25" spans="1:4">
      <c r="A25" s="2" t="s">
        <v>35</v>
      </c>
    </row>
    <row r="26" spans="1:4">
      <c r="A26" s="2" t="s">
        <v>38</v>
      </c>
    </row>
    <row r="27" spans="1:4">
      <c r="A27" s="3" t="s">
        <v>34</v>
      </c>
    </row>
    <row r="28" spans="1:4">
      <c r="A28" s="2" t="s">
        <v>34</v>
      </c>
    </row>
    <row r="29" spans="1:4">
      <c r="A29" s="3" t="s">
        <v>34</v>
      </c>
    </row>
    <row r="30" spans="1:4">
      <c r="A30" s="3" t="s">
        <v>34</v>
      </c>
    </row>
    <row r="31" spans="1:4">
      <c r="A31" s="2" t="s">
        <v>34</v>
      </c>
    </row>
    <row r="32" spans="1:4">
      <c r="A32" s="3" t="s">
        <v>34</v>
      </c>
    </row>
    <row r="33" spans="1:1">
      <c r="A33" s="2" t="s">
        <v>39</v>
      </c>
    </row>
    <row r="34" spans="1:1">
      <c r="A34" s="2" t="s">
        <v>39</v>
      </c>
    </row>
    <row r="35" spans="1:1">
      <c r="A35" s="2" t="s">
        <v>39</v>
      </c>
    </row>
    <row r="36" spans="1:1">
      <c r="A36" s="2" t="s">
        <v>39</v>
      </c>
    </row>
    <row r="37" spans="1:1">
      <c r="A37" s="2" t="s">
        <v>39</v>
      </c>
    </row>
    <row r="38" spans="1:1">
      <c r="A38" s="2" t="s">
        <v>39</v>
      </c>
    </row>
    <row r="39" spans="1:1">
      <c r="A39" s="2" t="s">
        <v>36</v>
      </c>
    </row>
    <row r="40" spans="1:1">
      <c r="A40" s="2" t="s">
        <v>36</v>
      </c>
    </row>
    <row r="41" spans="1:1">
      <c r="A41" s="2" t="s">
        <v>36</v>
      </c>
    </row>
    <row r="42" spans="1:1">
      <c r="A42" s="2" t="s">
        <v>36</v>
      </c>
    </row>
    <row r="43" spans="1:1">
      <c r="A43" s="2" t="s">
        <v>36</v>
      </c>
    </row>
    <row r="44" spans="1:1">
      <c r="A44" s="2" t="s">
        <v>36</v>
      </c>
    </row>
    <row r="45" spans="1:1">
      <c r="A45" s="2" t="s">
        <v>36</v>
      </c>
    </row>
    <row r="46" spans="1:1">
      <c r="A46" s="2" t="s">
        <v>41</v>
      </c>
    </row>
    <row r="47" spans="1:1">
      <c r="A47" s="2" t="s">
        <v>41</v>
      </c>
    </row>
    <row r="48" spans="1:1">
      <c r="A48" s="2" t="s">
        <v>41</v>
      </c>
    </row>
    <row r="49" spans="1:1">
      <c r="A49" s="2" t="s">
        <v>40</v>
      </c>
    </row>
    <row r="50" spans="1:1">
      <c r="A50" s="2" t="s">
        <v>40</v>
      </c>
    </row>
    <row r="51" spans="1:1">
      <c r="A51" s="2" t="s">
        <v>40</v>
      </c>
    </row>
    <row r="52" spans="1:1">
      <c r="A52" s="2" t="s">
        <v>40</v>
      </c>
    </row>
    <row r="53" spans="1:1">
      <c r="A53" s="2" t="s">
        <v>40</v>
      </c>
    </row>
    <row r="54" spans="1:1">
      <c r="A54" s="2" t="s">
        <v>40</v>
      </c>
    </row>
    <row r="55" spans="1:1">
      <c r="A55" s="2" t="s">
        <v>40</v>
      </c>
    </row>
    <row r="56" spans="1:1">
      <c r="A56" s="2" t="s">
        <v>40</v>
      </c>
    </row>
    <row r="57" spans="1:1">
      <c r="A57" s="2" t="s">
        <v>40</v>
      </c>
    </row>
    <row r="58" spans="1:1">
      <c r="A58" s="2" t="s">
        <v>40</v>
      </c>
    </row>
    <row r="59" spans="1:1">
      <c r="A59" s="2" t="s">
        <v>40</v>
      </c>
    </row>
    <row r="60" spans="1:1">
      <c r="A60" s="2" t="s">
        <v>40</v>
      </c>
    </row>
    <row r="61" spans="1:1">
      <c r="A61" s="2" t="s">
        <v>40</v>
      </c>
    </row>
    <row r="62" spans="1:1">
      <c r="A62" s="2" t="s">
        <v>40</v>
      </c>
    </row>
    <row r="63" spans="1:1">
      <c r="A63" s="2" t="s">
        <v>40</v>
      </c>
    </row>
    <row r="64" spans="1:1">
      <c r="A64" s="2" t="s">
        <v>40</v>
      </c>
    </row>
    <row r="65" spans="1:1">
      <c r="A65" s="2" t="s">
        <v>40</v>
      </c>
    </row>
    <row r="66" spans="1:1">
      <c r="A66" s="2" t="s">
        <v>40</v>
      </c>
    </row>
    <row r="67" spans="1:1">
      <c r="A67" s="2" t="s">
        <v>40</v>
      </c>
    </row>
    <row r="68" spans="1:1">
      <c r="A68" s="2" t="s">
        <v>40</v>
      </c>
    </row>
    <row r="69" spans="1:1">
      <c r="A69" s="2" t="s">
        <v>40</v>
      </c>
    </row>
    <row r="70" spans="1:1">
      <c r="A70" s="2" t="s">
        <v>40</v>
      </c>
    </row>
    <row r="71" spans="1:1">
      <c r="A71" s="2" t="s">
        <v>42</v>
      </c>
    </row>
    <row r="72" spans="1:1">
      <c r="A72" s="2" t="s">
        <v>42</v>
      </c>
    </row>
    <row r="73" spans="1:1">
      <c r="A73" s="2" t="s">
        <v>42</v>
      </c>
    </row>
    <row r="74" spans="1:1">
      <c r="A74" s="2" t="s">
        <v>42</v>
      </c>
    </row>
    <row r="75" spans="1:1">
      <c r="A75" s="2" t="s">
        <v>26</v>
      </c>
    </row>
    <row r="76" spans="1:1">
      <c r="A76" s="2" t="s">
        <v>30</v>
      </c>
    </row>
    <row r="77" spans="1:1">
      <c r="A77" s="2" t="s">
        <v>30</v>
      </c>
    </row>
    <row r="78" spans="1:1">
      <c r="A78" s="2" t="s">
        <v>27</v>
      </c>
    </row>
    <row r="79" spans="1:1">
      <c r="A79" s="2" t="s">
        <v>27</v>
      </c>
    </row>
    <row r="80" spans="1:1">
      <c r="A80" s="2" t="s">
        <v>27</v>
      </c>
    </row>
    <row r="81" spans="1:1">
      <c r="A81" s="2" t="s">
        <v>28</v>
      </c>
    </row>
    <row r="82" spans="1:1">
      <c r="A82" s="2" t="s">
        <v>28</v>
      </c>
    </row>
    <row r="83" spans="1:1">
      <c r="A83" s="2" t="s">
        <v>28</v>
      </c>
    </row>
    <row r="84" spans="1:1">
      <c r="A84" s="2" t="s">
        <v>28</v>
      </c>
    </row>
    <row r="85" spans="1:1">
      <c r="A85" s="2" t="s">
        <v>28</v>
      </c>
    </row>
    <row r="86" spans="1:1">
      <c r="A86" s="2" t="s">
        <v>28</v>
      </c>
    </row>
    <row r="87" spans="1:1">
      <c r="A87" s="2" t="s">
        <v>28</v>
      </c>
    </row>
    <row r="88" spans="1:1">
      <c r="A88" s="2" t="s">
        <v>28</v>
      </c>
    </row>
    <row r="89" spans="1:1">
      <c r="A89" s="2" t="s">
        <v>45</v>
      </c>
    </row>
    <row r="90" spans="1:1">
      <c r="A90" s="2" t="s">
        <v>45</v>
      </c>
    </row>
    <row r="91" spans="1:1">
      <c r="A91" s="2" t="s">
        <v>45</v>
      </c>
    </row>
    <row r="92" spans="1:1">
      <c r="A92" s="2" t="s">
        <v>29</v>
      </c>
    </row>
    <row r="116" spans="1:2">
      <c r="A116" t="s">
        <v>46</v>
      </c>
      <c r="B116" t="s">
        <v>65</v>
      </c>
    </row>
    <row r="117" spans="1:2">
      <c r="A117" s="2" t="s">
        <v>25</v>
      </c>
      <c r="B117" t="b">
        <v>0</v>
      </c>
    </row>
    <row r="118" spans="1:2">
      <c r="A118" s="2" t="s">
        <v>37</v>
      </c>
      <c r="B118" t="b">
        <v>0</v>
      </c>
    </row>
    <row r="119" spans="1:2">
      <c r="A119" s="2" t="s">
        <v>31</v>
      </c>
      <c r="B119" t="b">
        <v>0</v>
      </c>
    </row>
    <row r="120" spans="1:2">
      <c r="A120" s="2" t="s">
        <v>43</v>
      </c>
      <c r="B120" t="b">
        <v>0</v>
      </c>
    </row>
    <row r="121" spans="1:2">
      <c r="A121" s="2" t="s">
        <v>44</v>
      </c>
      <c r="B121" t="b">
        <v>0</v>
      </c>
    </row>
    <row r="122" spans="1:2">
      <c r="A122" s="4" t="s">
        <v>32</v>
      </c>
      <c r="B122" t="s">
        <v>22</v>
      </c>
    </row>
    <row r="123" spans="1:2">
      <c r="A123" s="6" t="s">
        <v>33</v>
      </c>
      <c r="B123" t="b">
        <v>1</v>
      </c>
    </row>
    <row r="124" spans="1:2">
      <c r="A124" s="2" t="s">
        <v>35</v>
      </c>
      <c r="B124" t="b">
        <v>0</v>
      </c>
    </row>
    <row r="125" spans="1:2">
      <c r="A125" s="2" t="s">
        <v>38</v>
      </c>
      <c r="B125" t="b">
        <v>1</v>
      </c>
    </row>
    <row r="126" spans="1:2">
      <c r="A126" s="7" t="s">
        <v>34</v>
      </c>
      <c r="B126" t="s">
        <v>22</v>
      </c>
    </row>
    <row r="127" spans="1:2">
      <c r="A127" s="8" t="s">
        <v>39</v>
      </c>
      <c r="B127" t="s">
        <v>22</v>
      </c>
    </row>
    <row r="128" spans="1:2">
      <c r="A128" s="8" t="s">
        <v>36</v>
      </c>
      <c r="B128" t="s">
        <v>22</v>
      </c>
    </row>
    <row r="129" spans="1:2">
      <c r="A129" s="8" t="s">
        <v>41</v>
      </c>
      <c r="B129" t="s">
        <v>22</v>
      </c>
    </row>
    <row r="130" spans="1:2">
      <c r="A130" s="8" t="s">
        <v>40</v>
      </c>
      <c r="B130" t="s">
        <v>22</v>
      </c>
    </row>
    <row r="131" spans="1:2">
      <c r="A131" s="2" t="s">
        <v>42</v>
      </c>
      <c r="B131" t="b">
        <v>0</v>
      </c>
    </row>
    <row r="132" spans="1:2">
      <c r="A132" s="6" t="s">
        <v>26</v>
      </c>
      <c r="B132" t="b">
        <v>1</v>
      </c>
    </row>
    <row r="133" spans="1:2">
      <c r="A133" s="6" t="s">
        <v>30</v>
      </c>
      <c r="B133" t="b">
        <v>1</v>
      </c>
    </row>
    <row r="134" spans="1:2">
      <c r="A134" s="4" t="s">
        <v>27</v>
      </c>
      <c r="B134" t="s">
        <v>22</v>
      </c>
    </row>
    <row r="135" spans="1:2">
      <c r="A135" s="4" t="s">
        <v>28</v>
      </c>
      <c r="B135" t="s">
        <v>22</v>
      </c>
    </row>
    <row r="136" spans="1:2">
      <c r="A136" s="4" t="s">
        <v>45</v>
      </c>
      <c r="B136" t="s">
        <v>22</v>
      </c>
    </row>
    <row r="137" spans="1:2">
      <c r="A137" s="2" t="s">
        <v>29</v>
      </c>
      <c r="B137" t="b">
        <v>0</v>
      </c>
    </row>
  </sheetData>
  <autoFilter ref="A1" xr:uid="{9B91245E-1072-2846-931F-4380EF662B8A}">
    <sortState xmlns:xlrd2="http://schemas.microsoft.com/office/spreadsheetml/2017/richdata2" ref="A2:A92">
      <sortCondition ref="A1:A92"/>
    </sortState>
  </autoFilter>
  <phoneticPr fontId="1" type="noConversion"/>
  <conditionalFormatting sqref="A1:A115 A138:A1048576">
    <cfRule type="duplicateValues" dxfId="20" priority="21"/>
  </conditionalFormatting>
  <conditionalFormatting sqref="A117:A118">
    <cfRule type="duplicateValues" dxfId="19" priority="10"/>
  </conditionalFormatting>
  <conditionalFormatting sqref="A119">
    <cfRule type="duplicateValues" dxfId="18" priority="9"/>
  </conditionalFormatting>
  <conditionalFormatting sqref="A120:A121">
    <cfRule type="duplicateValues" dxfId="17" priority="8"/>
  </conditionalFormatting>
  <conditionalFormatting sqref="A122">
    <cfRule type="duplicateValues" dxfId="16" priority="7"/>
  </conditionalFormatting>
  <conditionalFormatting sqref="A123:A126">
    <cfRule type="duplicateValues" dxfId="15" priority="6"/>
  </conditionalFormatting>
  <conditionalFormatting sqref="A127:A128">
    <cfRule type="duplicateValues" dxfId="14" priority="5"/>
  </conditionalFormatting>
  <conditionalFormatting sqref="A129:A130">
    <cfRule type="duplicateValues" dxfId="13" priority="4"/>
  </conditionalFormatting>
  <conditionalFormatting sqref="A131:A133">
    <cfRule type="duplicateValues" dxfId="12" priority="3"/>
  </conditionalFormatting>
  <conditionalFormatting sqref="A134:A135">
    <cfRule type="duplicateValues" dxfId="11" priority="2"/>
  </conditionalFormatting>
  <conditionalFormatting sqref="A136:A137">
    <cfRule type="duplicateValues" dxfId="10" priority="1"/>
  </conditionalFormatting>
  <conditionalFormatting sqref="D2:D3">
    <cfRule type="duplicateValues" dxfId="9" priority="20"/>
  </conditionalFormatting>
  <conditionalFormatting sqref="D4">
    <cfRule type="duplicateValues" dxfId="8" priority="19"/>
  </conditionalFormatting>
  <conditionalFormatting sqref="D5:D6">
    <cfRule type="duplicateValues" dxfId="7" priority="18"/>
  </conditionalFormatting>
  <conditionalFormatting sqref="D7">
    <cfRule type="duplicateValues" dxfId="6" priority="17"/>
  </conditionalFormatting>
  <conditionalFormatting sqref="D8:D11">
    <cfRule type="duplicateValues" dxfId="5" priority="16"/>
  </conditionalFormatting>
  <conditionalFormatting sqref="D12:D13">
    <cfRule type="duplicateValues" dxfId="4" priority="15"/>
  </conditionalFormatting>
  <conditionalFormatting sqref="D14:D15">
    <cfRule type="duplicateValues" dxfId="3" priority="14"/>
  </conditionalFormatting>
  <conditionalFormatting sqref="D16:D18">
    <cfRule type="duplicateValues" dxfId="2" priority="13"/>
  </conditionalFormatting>
  <conditionalFormatting sqref="D19:D20">
    <cfRule type="duplicateValues" dxfId="1" priority="12"/>
  </conditionalFormatting>
  <conditionalFormatting sqref="D21:D2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information_sheet</vt:lpstr>
      <vt:lpstr>ionlist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煥權 曾</dc:creator>
  <cp:lastModifiedBy>曾　煥權</cp:lastModifiedBy>
  <dcterms:created xsi:type="dcterms:W3CDTF">2023-10-18T04:18:39Z</dcterms:created>
  <dcterms:modified xsi:type="dcterms:W3CDTF">2025-09-06T10:52:36Z</dcterms:modified>
</cp:coreProperties>
</file>