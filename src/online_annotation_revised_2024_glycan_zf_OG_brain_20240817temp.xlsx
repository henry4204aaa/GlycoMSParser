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zuki\Documents\"/>
    </mc:Choice>
  </mc:AlternateContent>
  <xr:revisionPtr revIDLastSave="0" documentId="8_{B16A2626-34C7-4441-B235-D6443C89A28D}" xr6:coauthVersionLast="47" xr6:coauthVersionMax="47" xr10:uidLastSave="{00000000-0000-0000-0000-000000000000}"/>
  <bookViews>
    <workbookView xWindow="4110" yWindow="1110" windowWidth="18450" windowHeight="13515" activeTab="4" xr2:uid="{4DD463D7-373D-47F4-A03B-74B0493A6743}"/>
  </bookViews>
  <sheets>
    <sheet name="Glycanlist" sheetId="1" r:id="rId1"/>
    <sheet name="MSlist" sheetId="2" r:id="rId2"/>
    <sheet name="ML_integration" sheetId="3" r:id="rId3"/>
    <sheet name="information_sheet" sheetId="4" r:id="rId4"/>
    <sheet name="ionlist" sheetId="6" r:id="rId5"/>
    <sheet name="Template for calculation" sheetId="5" r:id="rId6"/>
  </sheets>
  <definedNames>
    <definedName name="_xlnm._FilterDatabase" localSheetId="0" hidden="1">Glycanlist!$A$1:$P$1</definedName>
    <definedName name="_xlnm._FilterDatabase" localSheetId="4" hidden="1">ionlist!$A$1:$H$1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E14" i="6"/>
  <c r="E17" i="6"/>
  <c r="D57" i="1"/>
  <c r="F57" i="1"/>
  <c r="G57" i="1"/>
  <c r="H57" i="1"/>
  <c r="D56" i="1"/>
  <c r="F56" i="1"/>
  <c r="G56" i="1"/>
  <c r="H56" i="1"/>
  <c r="D55" i="1"/>
  <c r="F55" i="1"/>
  <c r="G55" i="1"/>
  <c r="H55" i="1"/>
  <c r="D54" i="1"/>
  <c r="F54" i="1"/>
  <c r="G54" i="1"/>
  <c r="H54" i="1"/>
  <c r="D52" i="1"/>
  <c r="F52" i="1"/>
  <c r="G52" i="1"/>
  <c r="H52" i="1"/>
  <c r="D48" i="1"/>
  <c r="F48" i="1"/>
  <c r="G48" i="1"/>
  <c r="H48" i="1"/>
  <c r="D40" i="1"/>
  <c r="F40" i="1"/>
  <c r="G40" i="1"/>
  <c r="H40" i="1"/>
  <c r="D32" i="1"/>
  <c r="F32" i="1"/>
  <c r="G32" i="1"/>
  <c r="H32" i="1"/>
  <c r="D29" i="1"/>
  <c r="F29" i="1"/>
  <c r="G29" i="1"/>
  <c r="H29" i="1"/>
  <c r="D26" i="1"/>
  <c r="F26" i="1"/>
  <c r="G26" i="1"/>
  <c r="H26" i="1"/>
  <c r="F24" i="1"/>
  <c r="G24" i="1"/>
  <c r="H24" i="1"/>
  <c r="F25" i="1"/>
  <c r="G25" i="1"/>
  <c r="H25" i="1"/>
  <c r="D24" i="1"/>
  <c r="D25" i="1"/>
  <c r="D21" i="1"/>
  <c r="F21" i="1"/>
  <c r="G21" i="1"/>
  <c r="H21" i="1"/>
  <c r="D19" i="1"/>
  <c r="F19" i="1"/>
  <c r="G19" i="1"/>
  <c r="H19" i="1"/>
  <c r="C4" i="5" l="1"/>
  <c r="C5" i="5"/>
  <c r="D3" i="1"/>
  <c r="F3" i="1"/>
  <c r="G3" i="1"/>
  <c r="H3" i="1"/>
  <c r="D4" i="1"/>
  <c r="F4" i="1"/>
  <c r="G4" i="1"/>
  <c r="H4" i="1"/>
  <c r="D5" i="1"/>
  <c r="F5" i="1"/>
  <c r="G5" i="1"/>
  <c r="H5" i="1"/>
  <c r="D7" i="1"/>
  <c r="F7" i="1"/>
  <c r="G7" i="1"/>
  <c r="H7" i="1"/>
  <c r="D6" i="1"/>
  <c r="F6" i="1"/>
  <c r="G6" i="1"/>
  <c r="H6" i="1"/>
  <c r="D16" i="1"/>
  <c r="F16" i="1"/>
  <c r="G16" i="1"/>
  <c r="H16" i="1"/>
  <c r="D17" i="1"/>
  <c r="F17" i="1"/>
  <c r="G17" i="1"/>
  <c r="H17" i="1"/>
  <c r="D18" i="1"/>
  <c r="F18" i="1"/>
  <c r="G18" i="1"/>
  <c r="H18" i="1"/>
  <c r="F39" i="1"/>
  <c r="G39" i="1"/>
  <c r="H39" i="1"/>
  <c r="F41" i="1"/>
  <c r="G41" i="1"/>
  <c r="H41" i="1"/>
  <c r="F42" i="1"/>
  <c r="G42" i="1"/>
  <c r="H42" i="1"/>
  <c r="F43" i="1"/>
  <c r="G43" i="1"/>
  <c r="H43" i="1"/>
  <c r="F44" i="1"/>
  <c r="G44" i="1"/>
  <c r="H44" i="1"/>
  <c r="F46" i="1"/>
  <c r="G46" i="1"/>
  <c r="H46" i="1"/>
  <c r="F45" i="1"/>
  <c r="G45" i="1"/>
  <c r="H45" i="1"/>
  <c r="F47" i="1"/>
  <c r="G47" i="1"/>
  <c r="H47" i="1"/>
  <c r="F49" i="1"/>
  <c r="G49" i="1"/>
  <c r="H49" i="1"/>
  <c r="F50" i="1"/>
  <c r="G50" i="1"/>
  <c r="H50" i="1"/>
  <c r="F51" i="1"/>
  <c r="G51" i="1"/>
  <c r="H51" i="1"/>
  <c r="F53" i="1"/>
  <c r="G53" i="1"/>
  <c r="H53" i="1"/>
  <c r="F2" i="1"/>
  <c r="G2" i="1"/>
  <c r="H2" i="1"/>
  <c r="D39" i="1"/>
  <c r="D41" i="1"/>
  <c r="D42" i="1"/>
  <c r="D43" i="1"/>
  <c r="D44" i="1"/>
  <c r="D46" i="1"/>
  <c r="D45" i="1"/>
  <c r="D47" i="1"/>
  <c r="D49" i="1"/>
  <c r="D50" i="1"/>
  <c r="D51" i="1"/>
  <c r="D53" i="1"/>
  <c r="D2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20" i="1"/>
  <c r="G20" i="1"/>
  <c r="H20" i="1"/>
  <c r="F22" i="1"/>
  <c r="G22" i="1"/>
  <c r="H22" i="1"/>
  <c r="F23" i="1"/>
  <c r="G23" i="1"/>
  <c r="H23" i="1"/>
  <c r="F27" i="1"/>
  <c r="G27" i="1"/>
  <c r="H27" i="1"/>
  <c r="F28" i="1"/>
  <c r="G28" i="1"/>
  <c r="H28" i="1"/>
  <c r="F30" i="1"/>
  <c r="G30" i="1"/>
  <c r="H30" i="1"/>
  <c r="F31" i="1"/>
  <c r="G31" i="1"/>
  <c r="H31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D9" i="1"/>
  <c r="D10" i="1"/>
  <c r="D11" i="1"/>
  <c r="D12" i="1"/>
  <c r="D13" i="1"/>
  <c r="D14" i="1"/>
  <c r="D15" i="1"/>
  <c r="D20" i="1"/>
  <c r="D22" i="1"/>
  <c r="D23" i="1"/>
  <c r="D27" i="1"/>
  <c r="D28" i="1"/>
  <c r="D30" i="1"/>
  <c r="D31" i="1"/>
  <c r="D33" i="1"/>
  <c r="D34" i="1"/>
  <c r="D35" i="1"/>
  <c r="D36" i="1"/>
  <c r="D37" i="1"/>
  <c r="D38" i="1"/>
  <c r="H8" i="1"/>
  <c r="G8" i="1"/>
  <c r="F8" i="1"/>
  <c r="D8" i="1"/>
</calcChain>
</file>

<file path=xl/sharedStrings.xml><?xml version="1.0" encoding="utf-8"?>
<sst xmlns="http://schemas.openxmlformats.org/spreadsheetml/2006/main" count="502" uniqueCount="218">
  <si>
    <t>Glycan no (in paper)</t>
    <phoneticPr fontId="2" type="noConversion"/>
  </si>
  <si>
    <t>Glycan name/abbr</t>
    <phoneticPr fontId="2" type="noConversion"/>
  </si>
  <si>
    <t>composition</t>
    <phoneticPr fontId="2" type="noConversion"/>
  </si>
  <si>
    <t>Mass Na+</t>
    <phoneticPr fontId="2" type="noConversion"/>
  </si>
  <si>
    <t>Mass H+</t>
    <phoneticPr fontId="2" type="noConversion"/>
  </si>
  <si>
    <t>Mass 2H+</t>
    <phoneticPr fontId="2" type="noConversion"/>
  </si>
  <si>
    <t>Mass 3H+</t>
    <phoneticPr fontId="2" type="noConversion"/>
  </si>
  <si>
    <t>Mass 4H+ (max)</t>
    <phoneticPr fontId="2" type="noConversion"/>
  </si>
  <si>
    <t>MS2 in Na</t>
    <phoneticPr fontId="2" type="noConversion"/>
  </si>
  <si>
    <t>MS2 in H</t>
    <phoneticPr fontId="2" type="noConversion"/>
  </si>
  <si>
    <t>MS2 in 2H</t>
    <phoneticPr fontId="2" type="noConversion"/>
  </si>
  <si>
    <t>MS2 in 3H</t>
    <phoneticPr fontId="2" type="noConversion"/>
  </si>
  <si>
    <t>MS2 in 4H</t>
    <phoneticPr fontId="2" type="noConversion"/>
  </si>
  <si>
    <t>Criteria of selection</t>
    <phoneticPr fontId="2" type="noConversion"/>
  </si>
  <si>
    <t>note</t>
    <phoneticPr fontId="2" type="noConversion"/>
  </si>
  <si>
    <t>Create date</t>
    <phoneticPr fontId="2" type="noConversion"/>
  </si>
  <si>
    <t>Label</t>
    <phoneticPr fontId="2" type="noConversion"/>
  </si>
  <si>
    <t>value</t>
    <phoneticPr fontId="2" type="noConversion"/>
  </si>
  <si>
    <t>Sample name</t>
    <phoneticPr fontId="2" type="noConversion"/>
  </si>
  <si>
    <t>zebrafish O-glycan brain</t>
    <phoneticPr fontId="2" type="noConversion"/>
  </si>
  <si>
    <t>Experimental info</t>
    <phoneticPr fontId="2" type="noConversion"/>
  </si>
  <si>
    <t>Permethylated; Positive mode</t>
    <phoneticPr fontId="2" type="noConversion"/>
  </si>
  <si>
    <t>H1N1KDN1</t>
    <phoneticPr fontId="2" type="noConversion"/>
  </si>
  <si>
    <t>Core1-KDN</t>
    <phoneticPr fontId="2" type="noConversion"/>
  </si>
  <si>
    <t>Core1-Neu5Ac</t>
    <phoneticPr fontId="2" type="noConversion"/>
  </si>
  <si>
    <t>H1N1S1</t>
    <phoneticPr fontId="2" type="noConversion"/>
  </si>
  <si>
    <t>H1N1G1</t>
    <phoneticPr fontId="2" type="noConversion"/>
  </si>
  <si>
    <t>Core1-Neu5Gc</t>
    <phoneticPr fontId="2" type="noConversion"/>
  </si>
  <si>
    <t>Core2-Neu5Ac</t>
    <phoneticPr fontId="2" type="noConversion"/>
  </si>
  <si>
    <t>N2S1</t>
    <phoneticPr fontId="2" type="noConversion"/>
  </si>
  <si>
    <t>H1N2F1</t>
    <phoneticPr fontId="2" type="noConversion"/>
  </si>
  <si>
    <t>H2N2</t>
    <phoneticPr fontId="2" type="noConversion"/>
  </si>
  <si>
    <t>Core1-LacNAc</t>
    <phoneticPr fontId="2" type="noConversion"/>
  </si>
  <si>
    <t>H1N2S1</t>
    <phoneticPr fontId="2" type="noConversion"/>
  </si>
  <si>
    <t>Core1-zf-GalNAc-Fuc</t>
    <phoneticPr fontId="2" type="noConversion"/>
  </si>
  <si>
    <t>Core1-zf-GalNac-Ac</t>
    <phoneticPr fontId="2" type="noConversion"/>
  </si>
  <si>
    <t>Core1-DiKDN</t>
    <phoneticPr fontId="2" type="noConversion"/>
  </si>
  <si>
    <t>H1N1KDN2</t>
    <phoneticPr fontId="2" type="noConversion"/>
  </si>
  <si>
    <t>Core1-KDN1Ac1</t>
    <phoneticPr fontId="2" type="noConversion"/>
  </si>
  <si>
    <t>H1N1KDN1S1</t>
    <phoneticPr fontId="2" type="noConversion"/>
  </si>
  <si>
    <t>Core3-GalNAc-Fuc</t>
    <phoneticPr fontId="2" type="noConversion"/>
  </si>
  <si>
    <t>N4F1</t>
    <phoneticPr fontId="2" type="noConversion"/>
  </si>
  <si>
    <t>Core1-Neu5Ac2</t>
    <phoneticPr fontId="2" type="noConversion"/>
  </si>
  <si>
    <t>H1N1S2</t>
    <phoneticPr fontId="2" type="noConversion"/>
  </si>
  <si>
    <t>Core1-Neu5AcNeu5Gc</t>
    <phoneticPr fontId="2" type="noConversion"/>
  </si>
  <si>
    <t>H1N1S1G1</t>
    <phoneticPr fontId="2" type="noConversion"/>
  </si>
  <si>
    <t>Core1-zf-GalNAc-Neu5Ac-Fuc</t>
    <phoneticPr fontId="2" type="noConversion"/>
  </si>
  <si>
    <t>H1N2S1F1</t>
    <phoneticPr fontId="2" type="noConversion"/>
  </si>
  <si>
    <t>Core1-Neu5Gc2</t>
    <phoneticPr fontId="2" type="noConversion"/>
  </si>
  <si>
    <t>H1N1G2</t>
    <phoneticPr fontId="2" type="noConversion"/>
  </si>
  <si>
    <t>Core1-zf-GalNAc-Neu5Gc-Fuc</t>
    <phoneticPr fontId="2" type="noConversion"/>
  </si>
  <si>
    <t>H1N2G1F1</t>
    <phoneticPr fontId="2" type="noConversion"/>
  </si>
  <si>
    <t>Core1-zf-GalNAc-Gal-Neu5Ac</t>
    <phoneticPr fontId="2" type="noConversion"/>
  </si>
  <si>
    <t>H2N2S1</t>
    <phoneticPr fontId="2" type="noConversion"/>
  </si>
  <si>
    <t>Core2-Gal-Neu5Ac</t>
    <phoneticPr fontId="2" type="noConversion"/>
  </si>
  <si>
    <t>Core2-zf-Gal2-Fuc</t>
    <phoneticPr fontId="2" type="noConversion"/>
  </si>
  <si>
    <t>H3N2F1</t>
    <phoneticPr fontId="2" type="noConversion"/>
  </si>
  <si>
    <t>H2N2G1</t>
    <phoneticPr fontId="2" type="noConversion"/>
  </si>
  <si>
    <t>Core1-zf-GalNAc-Gal-Neu5Gc</t>
    <phoneticPr fontId="2" type="noConversion"/>
  </si>
  <si>
    <t>Core2-Gal-Neu5Gc</t>
    <phoneticPr fontId="2" type="noConversion"/>
  </si>
  <si>
    <t>Core2-zf-GalNAc2-Fuc2</t>
    <phoneticPr fontId="2" type="noConversion"/>
  </si>
  <si>
    <t>H1N4F2</t>
    <phoneticPr fontId="2" type="noConversion"/>
  </si>
  <si>
    <t>Core1-TriNeu5Ac</t>
    <phoneticPr fontId="2" type="noConversion"/>
  </si>
  <si>
    <t>H1N1S3</t>
    <phoneticPr fontId="2" type="noConversion"/>
  </si>
  <si>
    <t>Core1-DiNeu5Ac-Neu5Gc</t>
    <phoneticPr fontId="2" type="noConversion"/>
  </si>
  <si>
    <t>H1N1S2G1</t>
    <phoneticPr fontId="2" type="noConversion"/>
  </si>
  <si>
    <t>Core2-zf-Gal2-Neu5Ac-Fuc</t>
    <phoneticPr fontId="2" type="noConversion"/>
  </si>
  <si>
    <t>Core2-zf-Gal2-Neu5Gc-Fuc</t>
    <phoneticPr fontId="2" type="noConversion"/>
  </si>
  <si>
    <t>H3N2S1F1</t>
    <phoneticPr fontId="2" type="noConversion"/>
  </si>
  <si>
    <t>H3N2G1F1</t>
    <phoneticPr fontId="2" type="noConversion"/>
  </si>
  <si>
    <t>Core2-zf-GalNAc2-Fuc3</t>
    <phoneticPr fontId="2" type="noConversion"/>
  </si>
  <si>
    <t>H1N4F3</t>
    <phoneticPr fontId="2" type="noConversion"/>
  </si>
  <si>
    <t>Core1-TetraNeu5Ac</t>
    <phoneticPr fontId="2" type="noConversion"/>
  </si>
  <si>
    <t>H1N1S4</t>
    <phoneticPr fontId="2" type="noConversion"/>
  </si>
  <si>
    <t>T antigen</t>
    <phoneticPr fontId="2" type="noConversion"/>
  </si>
  <si>
    <t>H1N1</t>
    <phoneticPr fontId="2" type="noConversion"/>
  </si>
  <si>
    <t>PerMe</t>
    <phoneticPr fontId="2" type="noConversion"/>
  </si>
  <si>
    <t>This template should be implemented to GlycoMSP someday…</t>
    <phoneticPr fontId="2" type="noConversion"/>
  </si>
  <si>
    <t>Hex</t>
    <phoneticPr fontId="2" type="noConversion"/>
  </si>
  <si>
    <t>Original formula</t>
    <phoneticPr fontId="2" type="noConversion"/>
  </si>
  <si>
    <t>Mass</t>
    <phoneticPr fontId="2" type="noConversion"/>
  </si>
  <si>
    <t>C6H12O6</t>
    <phoneticPr fontId="2" type="noConversion"/>
  </si>
  <si>
    <t>C</t>
    <phoneticPr fontId="2" type="noConversion"/>
  </si>
  <si>
    <t>H</t>
    <phoneticPr fontId="2" type="noConversion"/>
  </si>
  <si>
    <t>O</t>
    <phoneticPr fontId="2" type="noConversion"/>
  </si>
  <si>
    <t>HexNAc (N-Acetyl)</t>
    <phoneticPr fontId="2" type="noConversion"/>
  </si>
  <si>
    <t>C8H15NO6</t>
    <phoneticPr fontId="2" type="noConversion"/>
  </si>
  <si>
    <t>N</t>
    <phoneticPr fontId="2" type="noConversion"/>
  </si>
  <si>
    <t xml:space="preserve">EDITING DO NOT USE </t>
    <phoneticPr fontId="2" type="noConversion"/>
  </si>
  <si>
    <t>VALIDATE THE MASS BEFORE APPLYING</t>
    <phoneticPr fontId="2" type="noConversion"/>
  </si>
  <si>
    <t>HexNAc-T</t>
    <phoneticPr fontId="2" type="noConversion"/>
  </si>
  <si>
    <t>N2</t>
    <phoneticPr fontId="2" type="noConversion"/>
  </si>
  <si>
    <t>KDN-T antigen</t>
    <phoneticPr fontId="2" type="noConversion"/>
  </si>
  <si>
    <t>Neu5Ac-T antigen</t>
    <phoneticPr fontId="2" type="noConversion"/>
  </si>
  <si>
    <t>Neu5Gc-T antigen</t>
    <phoneticPr fontId="2" type="noConversion"/>
  </si>
  <si>
    <t>Core1-Fuc</t>
    <phoneticPr fontId="2" type="noConversion"/>
  </si>
  <si>
    <t>H1N1F1</t>
    <phoneticPr fontId="2" type="noConversion"/>
  </si>
  <si>
    <t>H1N1S1F1</t>
    <phoneticPr fontId="2" type="noConversion"/>
  </si>
  <si>
    <t>H1N1G1F1</t>
    <phoneticPr fontId="2" type="noConversion"/>
  </si>
  <si>
    <t>H2N1S1</t>
    <phoneticPr fontId="2" type="noConversion"/>
  </si>
  <si>
    <t>H2N1G1</t>
    <phoneticPr fontId="2" type="noConversion"/>
  </si>
  <si>
    <t>H1N2G1</t>
    <phoneticPr fontId="2" type="noConversion"/>
  </si>
  <si>
    <t>H3N2</t>
    <phoneticPr fontId="2" type="noConversion"/>
  </si>
  <si>
    <t>H1N3F1</t>
    <phoneticPr fontId="2" type="noConversion"/>
  </si>
  <si>
    <t>H1N1KDN1F2</t>
    <phoneticPr fontId="2" type="noConversion"/>
  </si>
  <si>
    <t>????? Fuc on KDN? Possible?</t>
    <phoneticPr fontId="2" type="noConversion"/>
  </si>
  <si>
    <t>H2N3</t>
    <phoneticPr fontId="2" type="noConversion"/>
  </si>
  <si>
    <t>H2N1S1F1</t>
    <phoneticPr fontId="2" type="noConversion"/>
  </si>
  <si>
    <t>?</t>
    <phoneticPr fontId="2" type="noConversion"/>
  </si>
  <si>
    <t>Not a glycan in previous anno</t>
    <phoneticPr fontId="2" type="noConversion"/>
  </si>
  <si>
    <t>H2N4F2</t>
    <phoneticPr fontId="2" type="noConversion"/>
  </si>
  <si>
    <t>H3N2S2F1</t>
    <phoneticPr fontId="2" type="noConversion"/>
  </si>
  <si>
    <t>Notes</t>
    <phoneticPr fontId="2" type="noConversion"/>
  </si>
  <si>
    <t>Mind some annotation in summary sheet are NOT VALIDATED by other experts
(At least Dr. Khoo had said I was digging to much, those may not be glycans)</t>
    <phoneticPr fontId="2" type="noConversion"/>
  </si>
  <si>
    <t>Structure</t>
    <phoneticPr fontId="2" type="noConversion"/>
  </si>
  <si>
    <t xml:space="preserve">peak </t>
    <phoneticPr fontId="2" type="noConversion"/>
  </si>
  <si>
    <t>charge</t>
    <phoneticPr fontId="2" type="noConversion"/>
  </si>
  <si>
    <t>mass shift</t>
    <phoneticPr fontId="2" type="noConversion"/>
  </si>
  <si>
    <t>ion name</t>
    <phoneticPr fontId="2" type="noConversion"/>
  </si>
  <si>
    <t>ion type</t>
    <phoneticPr fontId="2" type="noConversion"/>
  </si>
  <si>
    <t>mass</t>
    <phoneticPr fontId="2" type="noConversion"/>
  </si>
  <si>
    <t>mainly shows in xx glycan?</t>
    <phoneticPr fontId="2" type="noConversion"/>
  </si>
  <si>
    <t>terminal Hex-32</t>
    <phoneticPr fontId="2" type="noConversion"/>
  </si>
  <si>
    <t>B</t>
    <phoneticPr fontId="2" type="noConversion"/>
  </si>
  <si>
    <t>notes</t>
    <phoneticPr fontId="2" type="noConversion"/>
  </si>
  <si>
    <t>from 219.1227</t>
    <phoneticPr fontId="2" type="noConversion"/>
  </si>
  <si>
    <t>Z</t>
    <phoneticPr fontId="2" type="noConversion"/>
  </si>
  <si>
    <t>REDend GalNAc</t>
    <phoneticPr fontId="2" type="noConversion"/>
  </si>
  <si>
    <t>O-GalNAc one branch</t>
    <phoneticPr fontId="2" type="noConversion"/>
  </si>
  <si>
    <t>Y</t>
    <phoneticPr fontId="2" type="noConversion"/>
  </si>
  <si>
    <t>brain</t>
    <phoneticPr fontId="2" type="noConversion"/>
  </si>
  <si>
    <t>intestine</t>
    <phoneticPr fontId="2" type="noConversion"/>
  </si>
  <si>
    <t>ovary</t>
    <phoneticPr fontId="2" type="noConversion"/>
  </si>
  <si>
    <t>N1S1</t>
    <phoneticPr fontId="2" type="noConversion"/>
  </si>
  <si>
    <t>294-32</t>
    <phoneticPr fontId="2" type="noConversion"/>
  </si>
  <si>
    <t>diff profile (integer for groups if different from same annotation)</t>
    <phoneticPr fontId="2" type="noConversion"/>
  </si>
  <si>
    <t>adduct</t>
    <phoneticPr fontId="2" type="noConversion"/>
  </si>
  <si>
    <t>280 core</t>
    <phoneticPr fontId="2" type="noConversion"/>
  </si>
  <si>
    <t>294 core</t>
    <phoneticPr fontId="2" type="noConversion"/>
  </si>
  <si>
    <t>1 Na but peaks too weak</t>
    <phoneticPr fontId="2" type="noConversion"/>
  </si>
  <si>
    <t>one confusing peak (2)</t>
    <phoneticPr fontId="2" type="noConversion"/>
  </si>
  <si>
    <t>one confusing peak (4)</t>
    <phoneticPr fontId="2" type="noConversion"/>
  </si>
  <si>
    <t>Unknown1</t>
    <phoneticPr fontId="2" type="noConversion"/>
  </si>
  <si>
    <t>Core+5Ac</t>
    <phoneticPr fontId="2" type="noConversion"/>
  </si>
  <si>
    <t>Core+5Gc</t>
    <phoneticPr fontId="2" type="noConversion"/>
  </si>
  <si>
    <t>O-GalNAc two branch</t>
    <phoneticPr fontId="2" type="noConversion"/>
  </si>
  <si>
    <t>YY</t>
    <phoneticPr fontId="2" type="noConversion"/>
  </si>
  <si>
    <t>YZ</t>
    <phoneticPr fontId="2" type="noConversion"/>
  </si>
  <si>
    <t>260-32</t>
    <phoneticPr fontId="2" type="noConversion"/>
  </si>
  <si>
    <t>terminal HexNAc</t>
    <phoneticPr fontId="2" type="noConversion"/>
  </si>
  <si>
    <t>Unknown2</t>
    <phoneticPr fontId="2" type="noConversion"/>
  </si>
  <si>
    <t>two peaks</t>
    <phoneticPr fontId="2" type="noConversion"/>
  </si>
  <si>
    <t>has O-Man (another type of glycan) but weak</t>
    <phoneticPr fontId="2" type="noConversion"/>
  </si>
  <si>
    <t xml:space="preserve">one weak in H+ has 484 </t>
    <phoneticPr fontId="2" type="noConversion"/>
  </si>
  <si>
    <t>too weak in H+</t>
    <phoneticPr fontId="2" type="noConversion"/>
  </si>
  <si>
    <t>not match</t>
    <phoneticPr fontId="2" type="noConversion"/>
  </si>
  <si>
    <t>H2</t>
    <phoneticPr fontId="2" type="noConversion"/>
  </si>
  <si>
    <t>534, 566  &gt; DiSia on Gal</t>
    <phoneticPr fontId="2" type="noConversion"/>
  </si>
  <si>
    <t>5 strange structure in 2H (not counted)</t>
    <phoneticPr fontId="2" type="noConversion"/>
  </si>
  <si>
    <t>MS2 in NH4+ (17 + M[H+])</t>
    <phoneticPr fontId="2" type="noConversion"/>
  </si>
  <si>
    <t>1234+17</t>
    <phoneticPr fontId="2" type="noConversion"/>
  </si>
  <si>
    <t>NH4</t>
    <phoneticPr fontId="2" type="noConversion"/>
  </si>
  <si>
    <t>mixed with glycan 17 (hard to tell by man annotation)</t>
    <phoneticPr fontId="2" type="noConversion"/>
  </si>
  <si>
    <t>has 464</t>
    <phoneticPr fontId="2" type="noConversion"/>
  </si>
  <si>
    <t>not found?</t>
    <phoneticPr fontId="2" type="noConversion"/>
  </si>
  <si>
    <t>H1N1G3</t>
    <phoneticPr fontId="2" type="noConversion"/>
  </si>
  <si>
    <t>H1N1S1G2</t>
    <phoneticPr fontId="2" type="noConversion"/>
  </si>
  <si>
    <t>H2N2S2</t>
    <phoneticPr fontId="2" type="noConversion"/>
  </si>
  <si>
    <t>Core 2? same mass as H1N2S1G1F1</t>
    <phoneticPr fontId="2" type="noConversion"/>
  </si>
  <si>
    <t>1 too weak</t>
    <phoneticPr fontId="2" type="noConversion"/>
  </si>
  <si>
    <t>Confusing, not sure (if yes, about 7 spectra)</t>
    <phoneticPr fontId="2" type="noConversion"/>
  </si>
  <si>
    <t>YY of core 1</t>
    <phoneticPr fontId="2" type="noConversion"/>
  </si>
  <si>
    <t>Core2 Y ions (2HexNAc)</t>
    <phoneticPr fontId="2" type="noConversion"/>
  </si>
  <si>
    <t>Core2 Y ions (GalNAc-GlcNAc-Gal)</t>
    <phoneticPr fontId="2" type="noConversion"/>
  </si>
  <si>
    <t>Core2 YY ions</t>
    <phoneticPr fontId="2" type="noConversion"/>
  </si>
  <si>
    <t>Evidence?</t>
    <phoneticPr fontId="2" type="noConversion"/>
  </si>
  <si>
    <t>Correct -MeOH mass list is in FilterMS2_2023.py</t>
    <phoneticPr fontId="2" type="noConversion"/>
  </si>
  <si>
    <t>376-32</t>
    <phoneticPr fontId="2" type="noConversion"/>
  </si>
  <si>
    <t>terminal Neu5Ac eliminated</t>
    <phoneticPr fontId="2" type="noConversion"/>
  </si>
  <si>
    <t>terminal Neu5Ac</t>
    <phoneticPr fontId="2" type="noConversion"/>
  </si>
  <si>
    <t>260-14</t>
    <phoneticPr fontId="2" type="noConversion"/>
  </si>
  <si>
    <t>https://www.sisweb.com/mstools/isotope.htm</t>
    <phoneticPr fontId="2" type="noConversion"/>
  </si>
  <si>
    <t>entered CH3OH -&gt; get 32.0262</t>
    <phoneticPr fontId="2" type="noConversion"/>
  </si>
  <si>
    <t>B ion of Fuc-HexNAc (zf specific)</t>
    <phoneticPr fontId="2" type="noConversion"/>
  </si>
  <si>
    <t>BY</t>
    <phoneticPr fontId="2" type="noConversion"/>
  </si>
  <si>
    <t>BY ion of Fuc-HexNAc (zf specific)</t>
    <phoneticPr fontId="2" type="noConversion"/>
  </si>
  <si>
    <t>OG core with KDN at 6-arm</t>
    <phoneticPr fontId="2" type="noConversion"/>
  </si>
  <si>
    <t>KDN-Gal</t>
    <phoneticPr fontId="2" type="noConversion"/>
  </si>
  <si>
    <t>Neu5Ac-Gal</t>
    <phoneticPr fontId="2" type="noConversion"/>
  </si>
  <si>
    <t>Neu5Gc-Gal</t>
    <phoneticPr fontId="2" type="noConversion"/>
  </si>
  <si>
    <t>MS2scan_no</t>
    <phoneticPr fontId="2" type="noConversion"/>
  </si>
  <si>
    <t>IUPACname(optional)</t>
    <phoneticPr fontId="2" type="noConversion"/>
  </si>
  <si>
    <t>Glycanannotation2</t>
    <phoneticPr fontId="2" type="noConversion"/>
  </si>
  <si>
    <t>terminal Hex</t>
    <phoneticPr fontId="2" type="noConversion"/>
  </si>
  <si>
    <t>Fuc1HexNAc1</t>
    <phoneticPr fontId="2" type="noConversion"/>
  </si>
  <si>
    <t>BY;CZ</t>
    <phoneticPr fontId="2" type="noConversion"/>
  </si>
  <si>
    <t>LacNAc</t>
    <phoneticPr fontId="2" type="noConversion"/>
  </si>
  <si>
    <t>LeX/LeA</t>
    <phoneticPr fontId="2" type="noConversion"/>
  </si>
  <si>
    <t>Neu5Ac2</t>
    <phoneticPr fontId="2" type="noConversion"/>
  </si>
  <si>
    <t>Neu5AcNeu5Gc</t>
    <phoneticPr fontId="2" type="noConversion"/>
  </si>
  <si>
    <t>Neu5Gc2</t>
    <phoneticPr fontId="2" type="noConversion"/>
  </si>
  <si>
    <t>SiaLacNAc</t>
    <phoneticPr fontId="2" type="noConversion"/>
  </si>
  <si>
    <t>Hex2HexNAc1dHex1</t>
    <phoneticPr fontId="2" type="noConversion"/>
  </si>
  <si>
    <t>sLeX/A</t>
    <phoneticPr fontId="2" type="noConversion"/>
  </si>
  <si>
    <t>464-32</t>
    <phoneticPr fontId="2" type="noConversion"/>
  </si>
  <si>
    <t>SiaGcLacNAc</t>
    <phoneticPr fontId="2" type="noConversion"/>
  </si>
  <si>
    <t>KDN2</t>
    <phoneticPr fontId="2" type="noConversion"/>
  </si>
  <si>
    <t>FucLacDiNAc</t>
    <phoneticPr fontId="2" type="noConversion"/>
  </si>
  <si>
    <t>LAcDiNAc</t>
    <phoneticPr fontId="2" type="noConversion"/>
  </si>
  <si>
    <t>Hex1HexNAc1Fuc1NeuAc1</t>
    <phoneticPr fontId="2" type="noConversion"/>
  </si>
  <si>
    <t>Hex1HexNAc1Fuc1NeuAc1 ; Hex2HexNAc1NeuAc1</t>
    <phoneticPr fontId="2" type="noConversion"/>
  </si>
  <si>
    <t>Hex2HexNAc1</t>
    <phoneticPr fontId="2" type="noConversion"/>
  </si>
  <si>
    <t>Evidence? Not in human sample</t>
    <phoneticPr fontId="2" type="noConversion"/>
  </si>
  <si>
    <t>HexNAc1_freeend</t>
  </si>
  <si>
    <t>HexNAc1_redend</t>
  </si>
  <si>
    <t>Hex1HexNAc1_freeend</t>
    <phoneticPr fontId="2" type="noConversion"/>
  </si>
  <si>
    <t>HexNAc2</t>
    <phoneticPr fontId="2" type="noConversion"/>
  </si>
  <si>
    <t>Hex1HexNAc1dHex1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</si>
</sst>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sweb.com/mstools/isotop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1EC-E688-4FB5-A472-C08A93821269}">
  <dimension ref="A1:Q57"/>
  <sheetViews>
    <sheetView workbookViewId="0">
      <pane ySplit="1" topLeftCell="A2" activePane="bottomLeft" state="frozen"/>
      <selection pane="bottomLeft" activeCell="B55" sqref="B55"/>
    </sheetView>
  </sheetViews>
  <sheetFormatPr defaultColWidth="8.75" defaultRowHeight="16.5" x14ac:dyDescent="0.25"/>
  <cols>
    <col min="1" max="1" width="16.25" customWidth="1"/>
    <col min="2" max="2" width="24.125" customWidth="1"/>
    <col min="3" max="3" width="12.375" customWidth="1"/>
    <col min="4" max="4" width="11.75" customWidth="1"/>
    <col min="5" max="5" width="10.375" customWidth="1"/>
    <col min="9" max="9" width="13.125" customWidth="1"/>
    <col min="10" max="10" width="12.375" customWidth="1"/>
    <col min="15" max="15" width="15.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159</v>
      </c>
      <c r="O1" t="s">
        <v>13</v>
      </c>
      <c r="P1" t="s">
        <v>14</v>
      </c>
    </row>
    <row r="2" spans="1:17" x14ac:dyDescent="0.25">
      <c r="B2" t="s">
        <v>74</v>
      </c>
      <c r="C2" t="s">
        <v>75</v>
      </c>
      <c r="D2">
        <f t="shared" ref="D2:D33" si="0">E2+21.9819</f>
        <v>534.28840000000002</v>
      </c>
      <c r="E2">
        <v>512.30650000000003</v>
      </c>
      <c r="F2">
        <f t="shared" ref="F2:F33" si="1">(E2+1.0073)/2</f>
        <v>256.65690000000001</v>
      </c>
      <c r="G2">
        <f t="shared" ref="G2:G33" si="2">(E2+1.0073*2)/3</f>
        <v>171.44036666666668</v>
      </c>
      <c r="H2">
        <f t="shared" ref="H2:H33" si="3">(E2+1.0073*3)/4</f>
        <v>128.8321</v>
      </c>
      <c r="I2">
        <v>0</v>
      </c>
      <c r="J2">
        <v>3</v>
      </c>
    </row>
    <row r="3" spans="1:17" x14ac:dyDescent="0.25">
      <c r="B3" t="s">
        <v>90</v>
      </c>
      <c r="C3" t="s">
        <v>91</v>
      </c>
      <c r="D3">
        <f t="shared" si="0"/>
        <v>575.31499999999994</v>
      </c>
      <c r="E3">
        <v>553.33309999999994</v>
      </c>
      <c r="F3">
        <f t="shared" si="1"/>
        <v>277.17019999999997</v>
      </c>
      <c r="G3">
        <f t="shared" si="2"/>
        <v>185.11589999999998</v>
      </c>
      <c r="H3">
        <f t="shared" si="3"/>
        <v>139.08874999999998</v>
      </c>
      <c r="I3">
        <v>0</v>
      </c>
      <c r="J3">
        <v>0</v>
      </c>
    </row>
    <row r="4" spans="1:17" x14ac:dyDescent="0.25">
      <c r="B4" t="s">
        <v>92</v>
      </c>
      <c r="D4">
        <f t="shared" si="0"/>
        <v>650.33579999999995</v>
      </c>
      <c r="E4">
        <v>628.35389999999995</v>
      </c>
      <c r="F4">
        <f t="shared" si="1"/>
        <v>314.68059999999997</v>
      </c>
      <c r="G4">
        <f t="shared" si="2"/>
        <v>210.12283333333332</v>
      </c>
      <c r="H4">
        <f t="shared" si="3"/>
        <v>157.84394999999998</v>
      </c>
      <c r="I4">
        <v>0</v>
      </c>
      <c r="J4">
        <v>0</v>
      </c>
    </row>
    <row r="5" spans="1:17" x14ac:dyDescent="0.25">
      <c r="B5" t="s">
        <v>93</v>
      </c>
      <c r="D5">
        <f t="shared" si="0"/>
        <v>691.3623</v>
      </c>
      <c r="E5">
        <v>669.38040000000001</v>
      </c>
      <c r="F5">
        <f t="shared" si="1"/>
        <v>335.19385</v>
      </c>
      <c r="G5">
        <f t="shared" si="2"/>
        <v>223.79833333333332</v>
      </c>
      <c r="H5">
        <f t="shared" si="3"/>
        <v>168.10057499999999</v>
      </c>
      <c r="I5">
        <v>0</v>
      </c>
      <c r="J5">
        <v>3</v>
      </c>
    </row>
    <row r="6" spans="1:17" x14ac:dyDescent="0.25">
      <c r="B6" t="s">
        <v>95</v>
      </c>
      <c r="C6" t="s">
        <v>96</v>
      </c>
      <c r="D6">
        <f t="shared" si="0"/>
        <v>708.37760000000003</v>
      </c>
      <c r="E6">
        <v>686.39570000000003</v>
      </c>
      <c r="F6">
        <f t="shared" si="1"/>
        <v>343.70150000000001</v>
      </c>
      <c r="G6">
        <f t="shared" si="2"/>
        <v>229.4701</v>
      </c>
      <c r="H6">
        <f t="shared" si="3"/>
        <v>172.3544</v>
      </c>
      <c r="I6">
        <v>0</v>
      </c>
      <c r="J6">
        <v>0</v>
      </c>
    </row>
    <row r="7" spans="1:17" x14ac:dyDescent="0.25">
      <c r="B7" t="s">
        <v>94</v>
      </c>
      <c r="D7">
        <f t="shared" si="0"/>
        <v>721.37289999999996</v>
      </c>
      <c r="E7">
        <v>699.39099999999996</v>
      </c>
      <c r="F7">
        <f t="shared" si="1"/>
        <v>350.19914999999997</v>
      </c>
      <c r="G7">
        <f t="shared" si="2"/>
        <v>233.80186666666665</v>
      </c>
      <c r="H7">
        <f t="shared" si="3"/>
        <v>175.60322499999998</v>
      </c>
      <c r="I7">
        <v>0</v>
      </c>
      <c r="J7">
        <v>0</v>
      </c>
    </row>
    <row r="8" spans="1:17" x14ac:dyDescent="0.25">
      <c r="A8">
        <v>1</v>
      </c>
      <c r="B8" t="s">
        <v>23</v>
      </c>
      <c r="C8" t="s">
        <v>22</v>
      </c>
      <c r="D8">
        <f t="shared" si="0"/>
        <v>854.43560000000002</v>
      </c>
      <c r="E8">
        <v>832.45370000000003</v>
      </c>
      <c r="F8">
        <f t="shared" si="1"/>
        <v>416.73050000000001</v>
      </c>
      <c r="G8">
        <f t="shared" si="2"/>
        <v>278.15609999999998</v>
      </c>
      <c r="H8">
        <f t="shared" si="3"/>
        <v>208.8689</v>
      </c>
      <c r="I8">
        <v>0</v>
      </c>
      <c r="J8">
        <v>1</v>
      </c>
      <c r="P8" t="s">
        <v>137</v>
      </c>
    </row>
    <row r="9" spans="1:17" x14ac:dyDescent="0.25">
      <c r="A9">
        <v>2</v>
      </c>
      <c r="B9" t="s">
        <v>24</v>
      </c>
      <c r="C9" t="s">
        <v>25</v>
      </c>
      <c r="D9">
        <f t="shared" si="0"/>
        <v>895.46209999999996</v>
      </c>
      <c r="E9">
        <v>873.48019999999997</v>
      </c>
      <c r="F9">
        <f t="shared" si="1"/>
        <v>437.24374999999998</v>
      </c>
      <c r="G9">
        <f t="shared" si="2"/>
        <v>291.83159999999998</v>
      </c>
      <c r="H9">
        <f t="shared" si="3"/>
        <v>219.12552499999998</v>
      </c>
      <c r="I9">
        <v>0</v>
      </c>
      <c r="J9">
        <v>6</v>
      </c>
      <c r="P9" t="s">
        <v>137</v>
      </c>
      <c r="Q9" t="s">
        <v>139</v>
      </c>
    </row>
    <row r="10" spans="1:17" x14ac:dyDescent="0.25">
      <c r="A10">
        <v>3</v>
      </c>
      <c r="B10" t="s">
        <v>24</v>
      </c>
      <c r="C10" t="s">
        <v>25</v>
      </c>
      <c r="D10">
        <f t="shared" si="0"/>
        <v>895.46209999999996</v>
      </c>
      <c r="E10">
        <v>873.48019999999997</v>
      </c>
      <c r="F10">
        <f t="shared" si="1"/>
        <v>437.24374999999998</v>
      </c>
      <c r="G10">
        <f t="shared" si="2"/>
        <v>291.83159999999998</v>
      </c>
      <c r="H10">
        <f t="shared" si="3"/>
        <v>219.12552499999998</v>
      </c>
      <c r="I10">
        <v>0</v>
      </c>
      <c r="J10">
        <v>5</v>
      </c>
      <c r="P10" t="s">
        <v>138</v>
      </c>
    </row>
    <row r="11" spans="1:17" x14ac:dyDescent="0.25">
      <c r="A11">
        <v>4</v>
      </c>
      <c r="B11" t="s">
        <v>27</v>
      </c>
      <c r="C11" t="s">
        <v>26</v>
      </c>
      <c r="D11">
        <f t="shared" si="0"/>
        <v>925.47270000000003</v>
      </c>
      <c r="E11">
        <v>903.49080000000004</v>
      </c>
      <c r="F11">
        <f t="shared" si="1"/>
        <v>452.24905000000001</v>
      </c>
      <c r="G11">
        <f t="shared" si="2"/>
        <v>301.83513333333332</v>
      </c>
      <c r="H11">
        <f t="shared" si="3"/>
        <v>226.628175</v>
      </c>
      <c r="I11">
        <v>0</v>
      </c>
      <c r="J11">
        <v>3</v>
      </c>
      <c r="P11" t="s">
        <v>137</v>
      </c>
      <c r="Q11" t="s">
        <v>140</v>
      </c>
    </row>
    <row r="12" spans="1:17" x14ac:dyDescent="0.25">
      <c r="A12">
        <v>5</v>
      </c>
      <c r="B12" t="s">
        <v>27</v>
      </c>
      <c r="C12" t="s">
        <v>26</v>
      </c>
      <c r="D12">
        <f t="shared" si="0"/>
        <v>925.47270000000003</v>
      </c>
      <c r="E12">
        <v>903.49080000000004</v>
      </c>
      <c r="F12">
        <f t="shared" si="1"/>
        <v>452.24905000000001</v>
      </c>
      <c r="G12">
        <f t="shared" si="2"/>
        <v>301.83513333333332</v>
      </c>
      <c r="H12">
        <f t="shared" si="3"/>
        <v>226.628175</v>
      </c>
      <c r="I12">
        <v>0</v>
      </c>
      <c r="J12">
        <v>1</v>
      </c>
      <c r="P12" t="s">
        <v>138</v>
      </c>
      <c r="Q12" t="s">
        <v>141</v>
      </c>
    </row>
    <row r="13" spans="1:17" x14ac:dyDescent="0.25">
      <c r="A13">
        <v>6</v>
      </c>
      <c r="B13" t="s">
        <v>28</v>
      </c>
      <c r="C13" t="s">
        <v>29</v>
      </c>
      <c r="D13">
        <f t="shared" si="0"/>
        <v>936.48869999999999</v>
      </c>
      <c r="E13">
        <v>914.5068</v>
      </c>
      <c r="F13">
        <f t="shared" si="1"/>
        <v>457.75704999999999</v>
      </c>
      <c r="G13">
        <f t="shared" si="2"/>
        <v>305.50713333333334</v>
      </c>
      <c r="H13">
        <f t="shared" si="3"/>
        <v>229.38217499999999</v>
      </c>
      <c r="I13">
        <v>0</v>
      </c>
      <c r="J13">
        <v>3</v>
      </c>
    </row>
    <row r="14" spans="1:17" x14ac:dyDescent="0.25">
      <c r="A14">
        <v>7</v>
      </c>
      <c r="B14" t="s">
        <v>34</v>
      </c>
      <c r="C14" t="s">
        <v>30</v>
      </c>
      <c r="D14">
        <f t="shared" si="0"/>
        <v>953.50400000000002</v>
      </c>
      <c r="E14">
        <v>931.52210000000002</v>
      </c>
      <c r="F14">
        <f t="shared" si="1"/>
        <v>466.2647</v>
      </c>
      <c r="G14">
        <f t="shared" si="2"/>
        <v>311.1789</v>
      </c>
      <c r="H14">
        <f t="shared" si="3"/>
        <v>233.636</v>
      </c>
      <c r="I14">
        <v>0</v>
      </c>
      <c r="J14">
        <v>6</v>
      </c>
      <c r="P14" t="s">
        <v>138</v>
      </c>
      <c r="Q14" t="s">
        <v>151</v>
      </c>
    </row>
    <row r="15" spans="1:17" x14ac:dyDescent="0.25">
      <c r="A15">
        <v>8</v>
      </c>
      <c r="B15" t="s">
        <v>32</v>
      </c>
      <c r="C15" t="s">
        <v>31</v>
      </c>
      <c r="D15">
        <f t="shared" si="0"/>
        <v>983.5145</v>
      </c>
      <c r="E15">
        <v>961.5326</v>
      </c>
      <c r="F15">
        <f t="shared" si="1"/>
        <v>481.26994999999999</v>
      </c>
      <c r="G15">
        <f t="shared" si="2"/>
        <v>321.18239999999997</v>
      </c>
      <c r="H15">
        <f t="shared" si="3"/>
        <v>241.13862499999999</v>
      </c>
      <c r="I15">
        <v>0</v>
      </c>
      <c r="J15">
        <v>2</v>
      </c>
    </row>
    <row r="16" spans="1:17" x14ac:dyDescent="0.25">
      <c r="C16" t="s">
        <v>97</v>
      </c>
      <c r="D16">
        <f t="shared" si="0"/>
        <v>1069.5513000000001</v>
      </c>
      <c r="E16">
        <v>1047.5694000000001</v>
      </c>
      <c r="F16">
        <f t="shared" si="1"/>
        <v>524.28835000000004</v>
      </c>
      <c r="G16">
        <f t="shared" si="2"/>
        <v>349.86133333333333</v>
      </c>
      <c r="H16">
        <f t="shared" si="3"/>
        <v>262.64782500000001</v>
      </c>
      <c r="I16">
        <v>0</v>
      </c>
      <c r="J16">
        <v>0</v>
      </c>
    </row>
    <row r="17" spans="1:16" x14ac:dyDescent="0.25">
      <c r="C17" t="s">
        <v>98</v>
      </c>
      <c r="D17">
        <f t="shared" si="0"/>
        <v>1099.5618999999999</v>
      </c>
      <c r="E17">
        <v>1077.58</v>
      </c>
      <c r="F17">
        <f t="shared" si="1"/>
        <v>539.29364999999996</v>
      </c>
      <c r="G17">
        <f t="shared" si="2"/>
        <v>359.86486666666661</v>
      </c>
      <c r="H17">
        <f t="shared" si="3"/>
        <v>270.15047499999997</v>
      </c>
      <c r="I17">
        <v>0</v>
      </c>
      <c r="J17">
        <v>0</v>
      </c>
      <c r="K17">
        <v>0</v>
      </c>
    </row>
    <row r="18" spans="1:16" x14ac:dyDescent="0.25">
      <c r="C18" t="s">
        <v>99</v>
      </c>
      <c r="D18">
        <f t="shared" si="0"/>
        <v>1099.5618999999999</v>
      </c>
      <c r="E18">
        <v>1077.58</v>
      </c>
      <c r="F18">
        <f t="shared" si="1"/>
        <v>539.29364999999996</v>
      </c>
      <c r="G18">
        <f t="shared" si="2"/>
        <v>359.86486666666661</v>
      </c>
      <c r="H18">
        <f t="shared" si="3"/>
        <v>270.15047499999997</v>
      </c>
      <c r="I18">
        <v>0</v>
      </c>
      <c r="J18">
        <v>0</v>
      </c>
      <c r="K18">
        <v>0</v>
      </c>
      <c r="P18" t="s">
        <v>152</v>
      </c>
    </row>
    <row r="19" spans="1:16" x14ac:dyDescent="0.25">
      <c r="C19" t="s">
        <v>100</v>
      </c>
      <c r="D19">
        <f t="shared" si="0"/>
        <v>1129.5724</v>
      </c>
      <c r="E19">
        <v>1107.5905</v>
      </c>
      <c r="F19">
        <f t="shared" si="1"/>
        <v>554.2989</v>
      </c>
      <c r="G19">
        <f t="shared" si="2"/>
        <v>369.86836666666665</v>
      </c>
      <c r="H19">
        <f t="shared" si="3"/>
        <v>277.65309999999999</v>
      </c>
      <c r="I19">
        <v>0</v>
      </c>
      <c r="J19">
        <v>0</v>
      </c>
      <c r="K19">
        <v>0</v>
      </c>
    </row>
    <row r="20" spans="1:16" x14ac:dyDescent="0.25">
      <c r="A20">
        <v>9</v>
      </c>
      <c r="B20" t="s">
        <v>35</v>
      </c>
      <c r="C20" t="s">
        <v>33</v>
      </c>
      <c r="D20">
        <f t="shared" si="0"/>
        <v>1140.5884000000001</v>
      </c>
      <c r="E20">
        <v>1118.6065000000001</v>
      </c>
      <c r="F20">
        <f t="shared" si="1"/>
        <v>559.80690000000004</v>
      </c>
      <c r="G20">
        <f t="shared" si="2"/>
        <v>373.54036666666667</v>
      </c>
      <c r="H20">
        <f t="shared" si="3"/>
        <v>280.40710000000001</v>
      </c>
      <c r="I20">
        <v>0</v>
      </c>
      <c r="J20">
        <v>0</v>
      </c>
      <c r="K20">
        <v>0</v>
      </c>
    </row>
    <row r="21" spans="1:16" x14ac:dyDescent="0.25">
      <c r="C21" t="s">
        <v>101</v>
      </c>
      <c r="D21">
        <f t="shared" si="0"/>
        <v>1170.5989999999999</v>
      </c>
      <c r="E21">
        <v>1148.6170999999999</v>
      </c>
      <c r="F21">
        <f t="shared" si="1"/>
        <v>574.81219999999996</v>
      </c>
      <c r="G21">
        <f t="shared" si="2"/>
        <v>383.54389999999995</v>
      </c>
      <c r="H21">
        <f t="shared" si="3"/>
        <v>287.90974999999997</v>
      </c>
      <c r="I21">
        <v>0</v>
      </c>
      <c r="J21">
        <v>0</v>
      </c>
      <c r="K21">
        <v>0</v>
      </c>
    </row>
    <row r="22" spans="1:16" x14ac:dyDescent="0.25">
      <c r="A22">
        <v>10</v>
      </c>
      <c r="B22" t="s">
        <v>36</v>
      </c>
      <c r="C22" t="s">
        <v>37</v>
      </c>
      <c r="D22">
        <f t="shared" si="0"/>
        <v>1174.5826999999999</v>
      </c>
      <c r="E22">
        <v>1152.6007999999999</v>
      </c>
      <c r="F22">
        <f t="shared" si="1"/>
        <v>576.80404999999996</v>
      </c>
      <c r="G22">
        <f t="shared" si="2"/>
        <v>384.87179999999995</v>
      </c>
      <c r="H22">
        <f t="shared" si="3"/>
        <v>288.90567499999997</v>
      </c>
      <c r="I22">
        <v>0</v>
      </c>
      <c r="J22">
        <v>0</v>
      </c>
      <c r="K22">
        <v>0</v>
      </c>
    </row>
    <row r="23" spans="1:16" x14ac:dyDescent="0.25">
      <c r="A23">
        <v>11</v>
      </c>
      <c r="B23" t="s">
        <v>36</v>
      </c>
      <c r="C23" t="s">
        <v>37</v>
      </c>
      <c r="D23">
        <f t="shared" si="0"/>
        <v>1174.5826999999999</v>
      </c>
      <c r="E23">
        <v>1152.6007999999999</v>
      </c>
      <c r="F23">
        <f t="shared" si="1"/>
        <v>576.80404999999996</v>
      </c>
      <c r="G23">
        <f t="shared" si="2"/>
        <v>384.87179999999995</v>
      </c>
      <c r="H23">
        <f t="shared" si="3"/>
        <v>288.90567499999997</v>
      </c>
      <c r="I23">
        <v>0</v>
      </c>
      <c r="J23">
        <v>0</v>
      </c>
      <c r="K23">
        <v>0</v>
      </c>
      <c r="P23" t="s">
        <v>153</v>
      </c>
    </row>
    <row r="24" spans="1:16" x14ac:dyDescent="0.25">
      <c r="C24" t="s">
        <v>102</v>
      </c>
      <c r="D24">
        <f t="shared" si="0"/>
        <v>1187.6143</v>
      </c>
      <c r="E24">
        <v>1165.6324</v>
      </c>
      <c r="F24">
        <f t="shared" si="1"/>
        <v>583.31984999999997</v>
      </c>
      <c r="G24">
        <f t="shared" si="2"/>
        <v>389.21566666666666</v>
      </c>
      <c r="H24">
        <f t="shared" si="3"/>
        <v>292.16357499999998</v>
      </c>
      <c r="I24">
        <v>0</v>
      </c>
      <c r="J24">
        <v>0</v>
      </c>
      <c r="K24">
        <v>0</v>
      </c>
    </row>
    <row r="25" spans="1:16" x14ac:dyDescent="0.25">
      <c r="C25" t="s">
        <v>103</v>
      </c>
      <c r="D25">
        <f t="shared" si="0"/>
        <v>1198.6303</v>
      </c>
      <c r="E25">
        <v>1176.6484</v>
      </c>
      <c r="F25">
        <f t="shared" si="1"/>
        <v>588.82785000000001</v>
      </c>
      <c r="G25">
        <f t="shared" si="2"/>
        <v>392.88766666666669</v>
      </c>
      <c r="H25">
        <f t="shared" si="3"/>
        <v>294.917575</v>
      </c>
      <c r="I25">
        <v>0</v>
      </c>
      <c r="J25">
        <v>0</v>
      </c>
      <c r="K25">
        <v>0</v>
      </c>
    </row>
    <row r="26" spans="1:16" x14ac:dyDescent="0.25">
      <c r="B26" t="s">
        <v>105</v>
      </c>
      <c r="C26" t="s">
        <v>104</v>
      </c>
      <c r="D26">
        <f t="shared" si="0"/>
        <v>1202.614</v>
      </c>
      <c r="E26">
        <v>1180.6321</v>
      </c>
      <c r="F26">
        <f t="shared" si="1"/>
        <v>590.81970000000001</v>
      </c>
      <c r="G26">
        <f t="shared" si="2"/>
        <v>394.21556666666669</v>
      </c>
      <c r="H26">
        <f t="shared" si="3"/>
        <v>295.9135</v>
      </c>
      <c r="I26">
        <v>0</v>
      </c>
      <c r="J26">
        <v>0</v>
      </c>
      <c r="K26">
        <v>0</v>
      </c>
    </row>
    <row r="27" spans="1:16" x14ac:dyDescent="0.25">
      <c r="A27">
        <v>12</v>
      </c>
      <c r="B27" t="s">
        <v>38</v>
      </c>
      <c r="C27" t="s">
        <v>39</v>
      </c>
      <c r="D27">
        <f t="shared" si="0"/>
        <v>1215.6092000000001</v>
      </c>
      <c r="E27">
        <v>1193.6273000000001</v>
      </c>
      <c r="F27">
        <f t="shared" si="1"/>
        <v>597.31730000000005</v>
      </c>
      <c r="G27">
        <f t="shared" si="2"/>
        <v>398.54730000000001</v>
      </c>
      <c r="H27">
        <f t="shared" si="3"/>
        <v>299.16230000000002</v>
      </c>
      <c r="I27">
        <v>0</v>
      </c>
      <c r="J27">
        <v>0</v>
      </c>
      <c r="K27">
        <v>0</v>
      </c>
      <c r="P27" t="s">
        <v>154</v>
      </c>
    </row>
    <row r="28" spans="1:16" x14ac:dyDescent="0.25">
      <c r="A28">
        <v>13</v>
      </c>
      <c r="B28" t="s">
        <v>38</v>
      </c>
      <c r="C28" t="s">
        <v>39</v>
      </c>
      <c r="D28">
        <f t="shared" si="0"/>
        <v>1215.6092000000001</v>
      </c>
      <c r="E28">
        <v>1193.6273000000001</v>
      </c>
      <c r="F28">
        <f t="shared" si="1"/>
        <v>597.31730000000005</v>
      </c>
      <c r="G28">
        <f t="shared" si="2"/>
        <v>398.54730000000001</v>
      </c>
      <c r="H28">
        <f t="shared" si="3"/>
        <v>299.16230000000002</v>
      </c>
      <c r="I28">
        <v>0</v>
      </c>
      <c r="J28">
        <v>0</v>
      </c>
      <c r="K28">
        <v>0</v>
      </c>
    </row>
    <row r="29" spans="1:16" x14ac:dyDescent="0.25">
      <c r="C29" t="s">
        <v>106</v>
      </c>
      <c r="D29">
        <f t="shared" si="0"/>
        <v>1228.6409000000001</v>
      </c>
      <c r="E29">
        <v>1206.6590000000001</v>
      </c>
      <c r="F29">
        <f t="shared" si="1"/>
        <v>603.83315000000005</v>
      </c>
      <c r="G29">
        <f t="shared" si="2"/>
        <v>402.89120000000003</v>
      </c>
      <c r="H29">
        <f t="shared" si="3"/>
        <v>302.42022500000002</v>
      </c>
      <c r="I29">
        <v>0</v>
      </c>
      <c r="J29">
        <v>0</v>
      </c>
      <c r="K29">
        <v>0</v>
      </c>
      <c r="P29" t="s">
        <v>155</v>
      </c>
    </row>
    <row r="30" spans="1:16" x14ac:dyDescent="0.25">
      <c r="A30">
        <v>14</v>
      </c>
      <c r="B30" t="s">
        <v>40</v>
      </c>
      <c r="C30" t="s">
        <v>41</v>
      </c>
      <c r="D30">
        <f t="shared" si="0"/>
        <v>1239.6568</v>
      </c>
      <c r="E30">
        <v>1217.6749</v>
      </c>
      <c r="F30">
        <f t="shared" si="1"/>
        <v>609.34109999999998</v>
      </c>
      <c r="G30">
        <f t="shared" si="2"/>
        <v>406.56316666666663</v>
      </c>
      <c r="H30">
        <f t="shared" si="3"/>
        <v>305.17419999999998</v>
      </c>
      <c r="I30">
        <v>0</v>
      </c>
      <c r="J30">
        <v>0</v>
      </c>
      <c r="K30">
        <v>0</v>
      </c>
    </row>
    <row r="31" spans="1:16" x14ac:dyDescent="0.25">
      <c r="A31">
        <v>15</v>
      </c>
      <c r="B31" t="s">
        <v>42</v>
      </c>
      <c r="C31" t="s">
        <v>43</v>
      </c>
      <c r="D31">
        <f t="shared" si="0"/>
        <v>1256.6358</v>
      </c>
      <c r="E31">
        <v>1234.6539</v>
      </c>
      <c r="F31">
        <f t="shared" si="1"/>
        <v>617.8306</v>
      </c>
      <c r="G31">
        <f t="shared" si="2"/>
        <v>412.22283333333331</v>
      </c>
      <c r="H31">
        <f t="shared" si="3"/>
        <v>309.41895</v>
      </c>
      <c r="I31">
        <v>0</v>
      </c>
      <c r="J31">
        <v>4</v>
      </c>
      <c r="K31">
        <v>10</v>
      </c>
      <c r="N31">
        <v>4</v>
      </c>
      <c r="P31" t="s">
        <v>158</v>
      </c>
    </row>
    <row r="32" spans="1:16" x14ac:dyDescent="0.25">
      <c r="C32" t="s">
        <v>107</v>
      </c>
      <c r="D32">
        <f t="shared" si="0"/>
        <v>1273.6511</v>
      </c>
      <c r="E32">
        <v>1251.6692</v>
      </c>
      <c r="F32">
        <f t="shared" si="1"/>
        <v>626.33825000000002</v>
      </c>
      <c r="G32">
        <f t="shared" si="2"/>
        <v>417.89460000000003</v>
      </c>
      <c r="H32">
        <f t="shared" si="3"/>
        <v>313.672775</v>
      </c>
      <c r="I32">
        <v>0</v>
      </c>
      <c r="J32">
        <v>0</v>
      </c>
      <c r="K32">
        <v>0</v>
      </c>
      <c r="P32" t="s">
        <v>160</v>
      </c>
    </row>
    <row r="33" spans="1:16" x14ac:dyDescent="0.25">
      <c r="A33">
        <v>16</v>
      </c>
      <c r="B33" s="4" t="s">
        <v>44</v>
      </c>
      <c r="C33" t="s">
        <v>45</v>
      </c>
      <c r="D33">
        <f t="shared" si="0"/>
        <v>1286.6462999999999</v>
      </c>
      <c r="E33">
        <v>1264.6643999999999</v>
      </c>
      <c r="F33">
        <f t="shared" si="1"/>
        <v>632.83584999999994</v>
      </c>
      <c r="G33">
        <f t="shared" si="2"/>
        <v>422.22633333333329</v>
      </c>
      <c r="H33">
        <f t="shared" si="3"/>
        <v>316.92157499999996</v>
      </c>
      <c r="I33">
        <v>0</v>
      </c>
      <c r="J33">
        <v>0</v>
      </c>
      <c r="K33">
        <v>18</v>
      </c>
      <c r="P33" t="s">
        <v>162</v>
      </c>
    </row>
    <row r="34" spans="1:16" x14ac:dyDescent="0.25">
      <c r="A34">
        <v>17</v>
      </c>
      <c r="B34" s="4" t="s">
        <v>44</v>
      </c>
      <c r="C34" t="s">
        <v>45</v>
      </c>
      <c r="D34">
        <f t="shared" ref="D34:D57" si="4">E34+21.9819</f>
        <v>1286.6462999999999</v>
      </c>
      <c r="E34">
        <v>1264.6643999999999</v>
      </c>
      <c r="F34">
        <f t="shared" ref="F34:F57" si="5">(E34+1.0073)/2</f>
        <v>632.83584999999994</v>
      </c>
      <c r="G34">
        <f t="shared" ref="G34:G57" si="6">(E34+1.0073*2)/3</f>
        <v>422.22633333333329</v>
      </c>
      <c r="H34">
        <f t="shared" ref="H34:H57" si="7">(E34+1.0073*3)/4</f>
        <v>316.92157499999996</v>
      </c>
      <c r="I34">
        <v>0</v>
      </c>
      <c r="J34">
        <v>0</v>
      </c>
      <c r="K34">
        <v>0</v>
      </c>
    </row>
    <row r="35" spans="1:16" x14ac:dyDescent="0.25">
      <c r="A35">
        <v>18</v>
      </c>
      <c r="B35" t="s">
        <v>46</v>
      </c>
      <c r="C35" t="s">
        <v>47</v>
      </c>
      <c r="D35">
        <f t="shared" si="4"/>
        <v>1314.6776</v>
      </c>
      <c r="E35">
        <v>1292.6957</v>
      </c>
      <c r="F35">
        <f t="shared" si="5"/>
        <v>646.85149999999999</v>
      </c>
      <c r="G35">
        <f t="shared" si="6"/>
        <v>431.57009999999997</v>
      </c>
      <c r="H35">
        <f t="shared" si="7"/>
        <v>323.92939999999999</v>
      </c>
      <c r="I35">
        <v>0</v>
      </c>
      <c r="J35">
        <v>1</v>
      </c>
      <c r="K35">
        <v>3</v>
      </c>
    </row>
    <row r="36" spans="1:16" x14ac:dyDescent="0.25">
      <c r="A36">
        <v>19</v>
      </c>
      <c r="B36" t="s">
        <v>48</v>
      </c>
      <c r="C36" t="s">
        <v>49</v>
      </c>
      <c r="D36">
        <f t="shared" si="4"/>
        <v>1316.6569</v>
      </c>
      <c r="E36">
        <v>1294.675</v>
      </c>
      <c r="F36">
        <f t="shared" si="5"/>
        <v>647.84114999999997</v>
      </c>
      <c r="G36">
        <f t="shared" si="6"/>
        <v>432.22986666666662</v>
      </c>
      <c r="H36">
        <f t="shared" si="7"/>
        <v>324.42422499999998</v>
      </c>
      <c r="I36">
        <v>0</v>
      </c>
      <c r="J36">
        <v>0</v>
      </c>
      <c r="K36">
        <v>2</v>
      </c>
    </row>
    <row r="37" spans="1:16" x14ac:dyDescent="0.25">
      <c r="A37">
        <v>20</v>
      </c>
      <c r="B37" t="s">
        <v>50</v>
      </c>
      <c r="C37" t="s">
        <v>51</v>
      </c>
      <c r="D37">
        <f t="shared" si="4"/>
        <v>1344.6882000000001</v>
      </c>
      <c r="E37">
        <v>1322.7063000000001</v>
      </c>
      <c r="F37">
        <f t="shared" si="5"/>
        <v>661.85680000000002</v>
      </c>
      <c r="G37">
        <f t="shared" si="6"/>
        <v>441.57363333333336</v>
      </c>
      <c r="H37">
        <f t="shared" si="7"/>
        <v>331.43205</v>
      </c>
      <c r="I37">
        <v>0</v>
      </c>
      <c r="J37">
        <v>0</v>
      </c>
      <c r="K37">
        <v>7</v>
      </c>
    </row>
    <row r="38" spans="1:16" x14ac:dyDescent="0.25">
      <c r="A38">
        <v>21</v>
      </c>
      <c r="B38" t="s">
        <v>52</v>
      </c>
      <c r="C38" t="s">
        <v>53</v>
      </c>
      <c r="D38">
        <f t="shared" si="4"/>
        <v>1344.6882000000001</v>
      </c>
      <c r="E38">
        <v>1322.7063000000001</v>
      </c>
      <c r="F38">
        <f t="shared" si="5"/>
        <v>661.85680000000002</v>
      </c>
      <c r="G38">
        <f t="shared" si="6"/>
        <v>441.57363333333336</v>
      </c>
      <c r="H38">
        <f t="shared" si="7"/>
        <v>331.43205</v>
      </c>
      <c r="I38">
        <v>0</v>
      </c>
      <c r="J38">
        <v>0</v>
      </c>
      <c r="K38">
        <v>1</v>
      </c>
      <c r="P38" t="s">
        <v>163</v>
      </c>
    </row>
    <row r="39" spans="1:16" x14ac:dyDescent="0.25">
      <c r="A39">
        <v>22</v>
      </c>
      <c r="B39" t="s">
        <v>54</v>
      </c>
      <c r="C39" t="s">
        <v>53</v>
      </c>
      <c r="D39">
        <f t="shared" si="4"/>
        <v>1344.6882000000001</v>
      </c>
      <c r="E39">
        <v>1322.7063000000001</v>
      </c>
      <c r="F39">
        <f t="shared" si="5"/>
        <v>661.85680000000002</v>
      </c>
      <c r="G39">
        <f t="shared" si="6"/>
        <v>441.57363333333336</v>
      </c>
      <c r="H39">
        <f t="shared" si="7"/>
        <v>331.43205</v>
      </c>
      <c r="I39">
        <v>0</v>
      </c>
      <c r="J39">
        <v>0</v>
      </c>
      <c r="K39">
        <v>0</v>
      </c>
    </row>
    <row r="40" spans="1:16" x14ac:dyDescent="0.25">
      <c r="B40" t="s">
        <v>109</v>
      </c>
      <c r="C40" t="s">
        <v>108</v>
      </c>
      <c r="D40">
        <f t="shared" si="4"/>
        <v>1357.6819</v>
      </c>
      <c r="E40">
        <v>1335.7</v>
      </c>
      <c r="F40">
        <f t="shared" si="5"/>
        <v>668.35365000000002</v>
      </c>
      <c r="G40">
        <f t="shared" si="6"/>
        <v>445.90486666666669</v>
      </c>
      <c r="H40">
        <f t="shared" si="7"/>
        <v>334.680475</v>
      </c>
      <c r="I40">
        <v>0</v>
      </c>
      <c r="J40">
        <v>0</v>
      </c>
      <c r="K40">
        <v>0</v>
      </c>
    </row>
    <row r="41" spans="1:16" x14ac:dyDescent="0.25">
      <c r="A41">
        <v>23</v>
      </c>
      <c r="B41" t="s">
        <v>55</v>
      </c>
      <c r="C41" t="s">
        <v>56</v>
      </c>
      <c r="D41">
        <f t="shared" si="4"/>
        <v>1361.7035000000001</v>
      </c>
      <c r="E41">
        <v>1339.7216000000001</v>
      </c>
      <c r="F41">
        <f t="shared" si="5"/>
        <v>670.36445000000003</v>
      </c>
      <c r="G41">
        <f t="shared" si="6"/>
        <v>447.24540000000002</v>
      </c>
      <c r="H41">
        <f t="shared" si="7"/>
        <v>335.68587500000001</v>
      </c>
      <c r="I41">
        <v>0</v>
      </c>
      <c r="J41">
        <v>0</v>
      </c>
      <c r="K41">
        <v>0</v>
      </c>
    </row>
    <row r="42" spans="1:16" x14ac:dyDescent="0.25">
      <c r="A42">
        <v>24</v>
      </c>
      <c r="B42" t="s">
        <v>55</v>
      </c>
      <c r="C42" t="s">
        <v>56</v>
      </c>
      <c r="D42">
        <f t="shared" si="4"/>
        <v>1361.7035000000001</v>
      </c>
      <c r="E42">
        <v>1339.7216000000001</v>
      </c>
      <c r="F42">
        <f t="shared" si="5"/>
        <v>670.36445000000003</v>
      </c>
      <c r="G42">
        <f t="shared" si="6"/>
        <v>447.24540000000002</v>
      </c>
      <c r="H42">
        <f t="shared" si="7"/>
        <v>335.68587500000001</v>
      </c>
      <c r="I42">
        <v>0</v>
      </c>
      <c r="J42">
        <v>0</v>
      </c>
      <c r="K42">
        <v>0</v>
      </c>
    </row>
    <row r="43" spans="1:16" x14ac:dyDescent="0.25">
      <c r="A43">
        <v>25</v>
      </c>
      <c r="B43" t="s">
        <v>58</v>
      </c>
      <c r="C43" t="s">
        <v>57</v>
      </c>
      <c r="D43">
        <f t="shared" si="4"/>
        <v>1374.6987999999999</v>
      </c>
      <c r="E43">
        <v>1352.7168999999999</v>
      </c>
      <c r="F43">
        <f t="shared" si="5"/>
        <v>676.86209999999994</v>
      </c>
      <c r="G43">
        <f t="shared" si="6"/>
        <v>451.57716666666664</v>
      </c>
      <c r="H43">
        <f t="shared" si="7"/>
        <v>338.93469999999996</v>
      </c>
      <c r="I43">
        <v>0</v>
      </c>
      <c r="J43">
        <v>0</v>
      </c>
      <c r="K43">
        <v>0</v>
      </c>
    </row>
    <row r="44" spans="1:16" x14ac:dyDescent="0.25">
      <c r="A44">
        <v>26</v>
      </c>
      <c r="B44" t="s">
        <v>59</v>
      </c>
      <c r="C44" t="s">
        <v>57</v>
      </c>
      <c r="D44">
        <f t="shared" si="4"/>
        <v>1374.6987999999999</v>
      </c>
      <c r="E44">
        <v>1352.7168999999999</v>
      </c>
      <c r="F44">
        <f t="shared" si="5"/>
        <v>676.86209999999994</v>
      </c>
      <c r="G44">
        <f t="shared" si="6"/>
        <v>451.57716666666664</v>
      </c>
      <c r="H44">
        <f t="shared" si="7"/>
        <v>338.93469999999996</v>
      </c>
      <c r="I44">
        <v>0</v>
      </c>
      <c r="J44">
        <v>0</v>
      </c>
      <c r="K44">
        <v>0</v>
      </c>
    </row>
    <row r="45" spans="1:16" x14ac:dyDescent="0.25">
      <c r="A45">
        <v>28</v>
      </c>
      <c r="B45" t="s">
        <v>62</v>
      </c>
      <c r="C45" t="s">
        <v>63</v>
      </c>
      <c r="D45">
        <f t="shared" si="4"/>
        <v>1617.8094000000001</v>
      </c>
      <c r="E45">
        <v>1595.8275000000001</v>
      </c>
      <c r="F45">
        <f t="shared" si="5"/>
        <v>798.41740000000004</v>
      </c>
      <c r="G45">
        <f t="shared" si="6"/>
        <v>532.6140333333334</v>
      </c>
      <c r="H45">
        <f t="shared" si="7"/>
        <v>399.71235000000001</v>
      </c>
      <c r="I45">
        <v>0</v>
      </c>
      <c r="J45">
        <v>0</v>
      </c>
      <c r="K45">
        <v>9</v>
      </c>
    </row>
    <row r="46" spans="1:16" x14ac:dyDescent="0.25">
      <c r="A46">
        <v>27</v>
      </c>
      <c r="B46" t="s">
        <v>60</v>
      </c>
      <c r="C46" t="s">
        <v>61</v>
      </c>
      <c r="D46">
        <f t="shared" si="4"/>
        <v>1617.8458000000001</v>
      </c>
      <c r="E46">
        <v>1595.8639000000001</v>
      </c>
      <c r="F46">
        <f t="shared" si="5"/>
        <v>798.43560000000002</v>
      </c>
      <c r="G46">
        <f t="shared" si="6"/>
        <v>532.62616666666668</v>
      </c>
      <c r="H46">
        <f t="shared" si="7"/>
        <v>399.72145</v>
      </c>
      <c r="I46">
        <v>0</v>
      </c>
      <c r="J46">
        <v>0</v>
      </c>
      <c r="K46">
        <v>0</v>
      </c>
      <c r="P46" t="s">
        <v>164</v>
      </c>
    </row>
    <row r="47" spans="1:16" x14ac:dyDescent="0.25">
      <c r="A47">
        <v>29</v>
      </c>
      <c r="B47" t="s">
        <v>64</v>
      </c>
      <c r="C47" t="s">
        <v>65</v>
      </c>
      <c r="D47">
        <f t="shared" si="4"/>
        <v>1647.82</v>
      </c>
      <c r="E47">
        <v>1625.8380999999999</v>
      </c>
      <c r="F47">
        <f t="shared" si="5"/>
        <v>813.42269999999996</v>
      </c>
      <c r="G47">
        <f t="shared" si="6"/>
        <v>542.61756666666668</v>
      </c>
      <c r="H47">
        <f t="shared" si="7"/>
        <v>407.21499999999997</v>
      </c>
      <c r="I47">
        <v>0</v>
      </c>
      <c r="J47">
        <v>0</v>
      </c>
      <c r="K47">
        <v>3</v>
      </c>
    </row>
    <row r="48" spans="1:16" x14ac:dyDescent="0.25">
      <c r="C48" t="s">
        <v>167</v>
      </c>
      <c r="D48">
        <f t="shared" si="4"/>
        <v>1705.8619000000001</v>
      </c>
      <c r="E48">
        <v>1683.88</v>
      </c>
      <c r="F48">
        <f t="shared" si="5"/>
        <v>842.44365000000005</v>
      </c>
      <c r="G48">
        <f t="shared" si="6"/>
        <v>561.96486666666669</v>
      </c>
      <c r="H48">
        <f t="shared" si="7"/>
        <v>421.72547500000002</v>
      </c>
      <c r="I48">
        <v>0</v>
      </c>
      <c r="J48">
        <v>0</v>
      </c>
      <c r="K48">
        <v>2</v>
      </c>
      <c r="P48" t="s">
        <v>168</v>
      </c>
    </row>
    <row r="49" spans="1:16" x14ac:dyDescent="0.25">
      <c r="A49">
        <v>30</v>
      </c>
      <c r="B49" t="s">
        <v>66</v>
      </c>
      <c r="C49" t="s">
        <v>68</v>
      </c>
      <c r="D49">
        <f t="shared" si="4"/>
        <v>1722.8771999999999</v>
      </c>
      <c r="E49">
        <v>1700.8952999999999</v>
      </c>
      <c r="F49">
        <f t="shared" si="5"/>
        <v>850.95129999999995</v>
      </c>
      <c r="G49">
        <f t="shared" si="6"/>
        <v>567.63663333333329</v>
      </c>
      <c r="H49">
        <f t="shared" si="7"/>
        <v>425.97929999999997</v>
      </c>
      <c r="I49">
        <v>0</v>
      </c>
      <c r="J49">
        <v>0</v>
      </c>
      <c r="K49">
        <v>2</v>
      </c>
    </row>
    <row r="50" spans="1:16" x14ac:dyDescent="0.25">
      <c r="A50">
        <v>31</v>
      </c>
      <c r="B50" t="s">
        <v>67</v>
      </c>
      <c r="C50" t="s">
        <v>69</v>
      </c>
      <c r="D50">
        <f t="shared" si="4"/>
        <v>1752.8877</v>
      </c>
      <c r="E50">
        <v>1730.9058</v>
      </c>
      <c r="F50">
        <f t="shared" si="5"/>
        <v>865.95654999999999</v>
      </c>
      <c r="G50">
        <f t="shared" si="6"/>
        <v>577.64013333333332</v>
      </c>
      <c r="H50">
        <f t="shared" si="7"/>
        <v>433.48192499999999</v>
      </c>
      <c r="I50">
        <v>0</v>
      </c>
      <c r="J50">
        <v>0</v>
      </c>
      <c r="K50">
        <v>0</v>
      </c>
      <c r="P50" t="s">
        <v>169</v>
      </c>
    </row>
    <row r="51" spans="1:16" x14ac:dyDescent="0.25">
      <c r="A51">
        <v>32</v>
      </c>
      <c r="B51" t="s">
        <v>70</v>
      </c>
      <c r="C51" t="s">
        <v>71</v>
      </c>
      <c r="D51">
        <f t="shared" si="4"/>
        <v>1791.9349999999999</v>
      </c>
      <c r="E51">
        <v>1769.9530999999999</v>
      </c>
      <c r="F51">
        <f t="shared" si="5"/>
        <v>885.48019999999997</v>
      </c>
      <c r="G51">
        <f t="shared" si="6"/>
        <v>590.65589999999997</v>
      </c>
      <c r="H51">
        <f t="shared" si="7"/>
        <v>443.24374999999998</v>
      </c>
      <c r="I51">
        <v>0</v>
      </c>
      <c r="J51">
        <v>0</v>
      </c>
      <c r="K51">
        <v>0</v>
      </c>
    </row>
    <row r="52" spans="1:16" x14ac:dyDescent="0.25">
      <c r="B52" t="s">
        <v>108</v>
      </c>
      <c r="C52" t="s">
        <v>110</v>
      </c>
      <c r="D52">
        <f t="shared" si="4"/>
        <v>1821.9456</v>
      </c>
      <c r="E52">
        <v>1799.9637</v>
      </c>
      <c r="F52">
        <f t="shared" si="5"/>
        <v>900.4855</v>
      </c>
      <c r="G52">
        <f t="shared" si="6"/>
        <v>600.65943333333337</v>
      </c>
      <c r="H52">
        <f t="shared" si="7"/>
        <v>450.74639999999999</v>
      </c>
      <c r="I52">
        <v>0</v>
      </c>
      <c r="J52">
        <v>0</v>
      </c>
      <c r="K52">
        <v>0</v>
      </c>
    </row>
    <row r="53" spans="1:16" x14ac:dyDescent="0.25">
      <c r="A53">
        <v>33</v>
      </c>
      <c r="B53" t="s">
        <v>72</v>
      </c>
      <c r="C53" t="s">
        <v>73</v>
      </c>
      <c r="D53">
        <f t="shared" si="4"/>
        <v>1978.9830999999999</v>
      </c>
      <c r="E53">
        <v>1957.0011999999999</v>
      </c>
      <c r="F53">
        <f t="shared" si="5"/>
        <v>979.00424999999996</v>
      </c>
      <c r="G53">
        <f t="shared" si="6"/>
        <v>653.00526666666667</v>
      </c>
      <c r="H53">
        <f t="shared" si="7"/>
        <v>490.00577499999997</v>
      </c>
      <c r="I53">
        <v>0</v>
      </c>
      <c r="J53">
        <v>0</v>
      </c>
      <c r="K53">
        <v>4</v>
      </c>
      <c r="L53">
        <v>0</v>
      </c>
    </row>
    <row r="54" spans="1:16" x14ac:dyDescent="0.25">
      <c r="B54" t="s">
        <v>109</v>
      </c>
      <c r="D54">
        <f t="shared" si="4"/>
        <v>2064.9819000000002</v>
      </c>
      <c r="E54">
        <v>2043</v>
      </c>
      <c r="F54">
        <f t="shared" si="5"/>
        <v>1022.00365</v>
      </c>
      <c r="G54">
        <f t="shared" si="6"/>
        <v>681.67153333333329</v>
      </c>
      <c r="H54">
        <f t="shared" si="7"/>
        <v>511.50547499999999</v>
      </c>
      <c r="I54">
        <v>0</v>
      </c>
      <c r="J54">
        <v>0</v>
      </c>
      <c r="K54">
        <v>0</v>
      </c>
    </row>
    <row r="55" spans="1:16" x14ac:dyDescent="0.25">
      <c r="C55" t="s">
        <v>111</v>
      </c>
      <c r="D55">
        <f t="shared" si="4"/>
        <v>2084.0109000000002</v>
      </c>
      <c r="E55">
        <v>2062.029</v>
      </c>
      <c r="F55">
        <f t="shared" si="5"/>
        <v>1031.5181500000001</v>
      </c>
      <c r="G55">
        <f t="shared" si="6"/>
        <v>688.01453333333336</v>
      </c>
      <c r="H55">
        <f t="shared" si="7"/>
        <v>516.26272500000005</v>
      </c>
      <c r="I55">
        <v>0</v>
      </c>
      <c r="J55">
        <v>0</v>
      </c>
      <c r="K55">
        <v>0</v>
      </c>
      <c r="P55" t="s">
        <v>170</v>
      </c>
    </row>
    <row r="56" spans="1:16" x14ac:dyDescent="0.25">
      <c r="C56" t="s">
        <v>166</v>
      </c>
      <c r="D56">
        <f t="shared" si="4"/>
        <v>1677.8306</v>
      </c>
      <c r="E56">
        <v>1655.8487</v>
      </c>
      <c r="F56">
        <f t="shared" si="5"/>
        <v>828.428</v>
      </c>
      <c r="G56">
        <f t="shared" si="6"/>
        <v>552.62109999999996</v>
      </c>
      <c r="H56">
        <f t="shared" si="7"/>
        <v>414.71764999999999</v>
      </c>
      <c r="I56">
        <v>0</v>
      </c>
      <c r="J56">
        <v>0</v>
      </c>
      <c r="K56">
        <v>0</v>
      </c>
    </row>
    <row r="57" spans="1:16" x14ac:dyDescent="0.25">
      <c r="C57" t="s">
        <v>165</v>
      </c>
      <c r="D57">
        <f t="shared" si="4"/>
        <v>1707.8411000000001</v>
      </c>
      <c r="E57">
        <v>1685.8592000000001</v>
      </c>
      <c r="F57">
        <f t="shared" si="5"/>
        <v>843.43325000000004</v>
      </c>
      <c r="G57">
        <f t="shared" si="6"/>
        <v>562.62459999999999</v>
      </c>
      <c r="H57">
        <f t="shared" si="7"/>
        <v>422.22027500000002</v>
      </c>
      <c r="I57">
        <v>0</v>
      </c>
      <c r="J57">
        <v>0</v>
      </c>
      <c r="K57">
        <v>0</v>
      </c>
    </row>
  </sheetData>
  <autoFilter ref="A1:P1" xr:uid="{BCDF71EC-E688-4FB5-A472-C08A93821269}">
    <sortState xmlns:xlrd2="http://schemas.microsoft.com/office/spreadsheetml/2017/richdata2" ref="A2:P55">
      <sortCondition ref="E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3E9-80B5-4AD0-BB87-D8B256A59B2E}">
  <dimension ref="A1:J115"/>
  <sheetViews>
    <sheetView workbookViewId="0">
      <pane ySplit="1" topLeftCell="A2" activePane="bottomLeft" state="frozen"/>
      <selection pane="bottomLeft" activeCell="I8" sqref="I8"/>
    </sheetView>
  </sheetViews>
  <sheetFormatPr defaultColWidth="8.75" defaultRowHeight="16.5" x14ac:dyDescent="0.25"/>
  <cols>
    <col min="1" max="1" width="11.375" customWidth="1"/>
    <col min="8" max="8" width="15.75" customWidth="1"/>
  </cols>
  <sheetData>
    <row r="1" spans="1:10" x14ac:dyDescent="0.25">
      <c r="A1" t="s">
        <v>114</v>
      </c>
      <c r="B1" t="s">
        <v>190</v>
      </c>
      <c r="C1" t="s">
        <v>115</v>
      </c>
      <c r="D1" t="s">
        <v>116</v>
      </c>
      <c r="E1" t="s">
        <v>117</v>
      </c>
      <c r="F1" t="s">
        <v>136</v>
      </c>
      <c r="G1" t="s">
        <v>135</v>
      </c>
      <c r="H1" t="s">
        <v>191</v>
      </c>
      <c r="I1" t="s">
        <v>192</v>
      </c>
      <c r="J1" t="s">
        <v>14</v>
      </c>
    </row>
    <row r="2" spans="1:10" x14ac:dyDescent="0.25">
      <c r="A2" t="s">
        <v>75</v>
      </c>
      <c r="B2">
        <v>5630</v>
      </c>
      <c r="C2">
        <v>1</v>
      </c>
      <c r="D2">
        <v>1</v>
      </c>
      <c r="E2">
        <v>0</v>
      </c>
      <c r="F2" t="s">
        <v>83</v>
      </c>
    </row>
    <row r="3" spans="1:10" x14ac:dyDescent="0.25">
      <c r="A3" t="s">
        <v>75</v>
      </c>
      <c r="B3">
        <v>5703</v>
      </c>
      <c r="C3">
        <v>1</v>
      </c>
      <c r="D3">
        <v>1</v>
      </c>
      <c r="E3">
        <v>0</v>
      </c>
      <c r="F3" t="s">
        <v>83</v>
      </c>
    </row>
    <row r="4" spans="1:10" x14ac:dyDescent="0.25">
      <c r="A4" t="s">
        <v>75</v>
      </c>
      <c r="B4">
        <v>5767</v>
      </c>
      <c r="C4">
        <v>1</v>
      </c>
      <c r="D4">
        <v>1</v>
      </c>
      <c r="E4">
        <v>0</v>
      </c>
      <c r="F4" t="s">
        <v>83</v>
      </c>
    </row>
    <row r="5" spans="1:10" x14ac:dyDescent="0.25">
      <c r="A5" t="s">
        <v>133</v>
      </c>
      <c r="B5">
        <v>6657</v>
      </c>
      <c r="C5">
        <v>2</v>
      </c>
      <c r="D5">
        <v>1</v>
      </c>
      <c r="E5">
        <v>0</v>
      </c>
      <c r="F5" t="s">
        <v>83</v>
      </c>
      <c r="G5">
        <v>1</v>
      </c>
    </row>
    <row r="6" spans="1:10" x14ac:dyDescent="0.25">
      <c r="A6" t="s">
        <v>133</v>
      </c>
      <c r="B6">
        <v>6741</v>
      </c>
      <c r="C6">
        <v>2</v>
      </c>
      <c r="D6">
        <v>1</v>
      </c>
      <c r="E6">
        <v>0</v>
      </c>
      <c r="F6" t="s">
        <v>83</v>
      </c>
    </row>
    <row r="7" spans="1:10" x14ac:dyDescent="0.25">
      <c r="A7" t="s">
        <v>133</v>
      </c>
      <c r="B7">
        <v>6819</v>
      </c>
      <c r="C7">
        <v>2</v>
      </c>
      <c r="D7">
        <v>1</v>
      </c>
      <c r="E7">
        <v>0</v>
      </c>
      <c r="F7" t="s">
        <v>83</v>
      </c>
    </row>
    <row r="8" spans="1:10" x14ac:dyDescent="0.25">
      <c r="A8" t="s">
        <v>133</v>
      </c>
      <c r="B8">
        <v>6913</v>
      </c>
      <c r="C8">
        <v>2</v>
      </c>
      <c r="D8">
        <v>1</v>
      </c>
      <c r="E8">
        <v>0</v>
      </c>
      <c r="F8" t="s">
        <v>83</v>
      </c>
    </row>
    <row r="9" spans="1:10" x14ac:dyDescent="0.25">
      <c r="A9" t="s">
        <v>22</v>
      </c>
      <c r="B9">
        <v>12179</v>
      </c>
      <c r="C9">
        <v>1</v>
      </c>
      <c r="D9">
        <v>1</v>
      </c>
      <c r="E9">
        <v>0</v>
      </c>
      <c r="F9" t="s">
        <v>83</v>
      </c>
    </row>
    <row r="10" spans="1:10" x14ac:dyDescent="0.25">
      <c r="A10" t="s">
        <v>25</v>
      </c>
      <c r="B10">
        <v>8169</v>
      </c>
      <c r="C10">
        <v>1</v>
      </c>
      <c r="D10">
        <v>1</v>
      </c>
      <c r="E10">
        <v>0</v>
      </c>
      <c r="F10" t="s">
        <v>83</v>
      </c>
      <c r="G10">
        <v>0</v>
      </c>
    </row>
    <row r="11" spans="1:10" x14ac:dyDescent="0.25">
      <c r="A11" t="s">
        <v>25</v>
      </c>
      <c r="B11">
        <v>8257</v>
      </c>
      <c r="C11">
        <v>1</v>
      </c>
      <c r="D11">
        <v>1</v>
      </c>
      <c r="E11">
        <v>0</v>
      </c>
      <c r="F11" t="s">
        <v>83</v>
      </c>
      <c r="G11">
        <v>0</v>
      </c>
    </row>
    <row r="12" spans="1:10" x14ac:dyDescent="0.25">
      <c r="A12" t="s">
        <v>25</v>
      </c>
      <c r="B12">
        <v>8354</v>
      </c>
      <c r="C12">
        <v>1</v>
      </c>
      <c r="D12">
        <v>1</v>
      </c>
      <c r="E12">
        <v>0</v>
      </c>
      <c r="F12" t="s">
        <v>83</v>
      </c>
      <c r="G12">
        <v>0</v>
      </c>
    </row>
    <row r="13" spans="1:10" x14ac:dyDescent="0.25">
      <c r="A13" t="s">
        <v>25</v>
      </c>
      <c r="B13">
        <v>8456</v>
      </c>
      <c r="C13">
        <v>1</v>
      </c>
      <c r="D13">
        <v>1</v>
      </c>
      <c r="E13">
        <v>0</v>
      </c>
      <c r="F13" t="s">
        <v>83</v>
      </c>
      <c r="G13">
        <v>0</v>
      </c>
    </row>
    <row r="14" spans="1:10" x14ac:dyDescent="0.25">
      <c r="A14" t="s">
        <v>25</v>
      </c>
      <c r="B14">
        <v>8579</v>
      </c>
      <c r="C14">
        <v>1</v>
      </c>
      <c r="D14">
        <v>1</v>
      </c>
      <c r="E14">
        <v>0</v>
      </c>
      <c r="F14" t="s">
        <v>83</v>
      </c>
      <c r="G14">
        <v>0</v>
      </c>
    </row>
    <row r="15" spans="1:10" x14ac:dyDescent="0.25">
      <c r="A15" t="s">
        <v>25</v>
      </c>
      <c r="B15">
        <v>8709</v>
      </c>
      <c r="C15">
        <v>1</v>
      </c>
      <c r="D15">
        <v>1</v>
      </c>
      <c r="E15">
        <v>0</v>
      </c>
      <c r="F15" t="s">
        <v>83</v>
      </c>
      <c r="G15">
        <v>0</v>
      </c>
    </row>
    <row r="16" spans="1:10" x14ac:dyDescent="0.25">
      <c r="A16" t="s">
        <v>25</v>
      </c>
      <c r="B16">
        <v>9498</v>
      </c>
      <c r="C16">
        <v>1</v>
      </c>
      <c r="D16">
        <v>1</v>
      </c>
      <c r="E16">
        <v>0</v>
      </c>
      <c r="F16" t="s">
        <v>83</v>
      </c>
      <c r="G16">
        <v>1</v>
      </c>
    </row>
    <row r="17" spans="1:7" x14ac:dyDescent="0.25">
      <c r="A17" t="s">
        <v>25</v>
      </c>
      <c r="B17">
        <v>9587</v>
      </c>
      <c r="C17">
        <v>1</v>
      </c>
      <c r="D17">
        <v>1</v>
      </c>
      <c r="E17">
        <v>0</v>
      </c>
      <c r="F17" t="s">
        <v>83</v>
      </c>
      <c r="G17">
        <v>1</v>
      </c>
    </row>
    <row r="18" spans="1:7" x14ac:dyDescent="0.25">
      <c r="A18" t="s">
        <v>25</v>
      </c>
      <c r="B18">
        <v>9683</v>
      </c>
      <c r="C18">
        <v>1</v>
      </c>
      <c r="D18">
        <v>1</v>
      </c>
      <c r="E18">
        <v>0</v>
      </c>
      <c r="F18" t="s">
        <v>83</v>
      </c>
      <c r="G18">
        <v>1</v>
      </c>
    </row>
    <row r="19" spans="1:7" x14ac:dyDescent="0.25">
      <c r="A19" t="s">
        <v>25</v>
      </c>
      <c r="B19">
        <v>9777</v>
      </c>
      <c r="C19">
        <v>1</v>
      </c>
      <c r="D19">
        <v>1</v>
      </c>
      <c r="E19">
        <v>0</v>
      </c>
      <c r="F19" t="s">
        <v>83</v>
      </c>
      <c r="G19">
        <v>1</v>
      </c>
    </row>
    <row r="20" spans="1:7" x14ac:dyDescent="0.25">
      <c r="A20" t="s">
        <v>25</v>
      </c>
      <c r="B20">
        <v>9875</v>
      </c>
      <c r="C20">
        <v>1</v>
      </c>
      <c r="D20">
        <v>1</v>
      </c>
      <c r="E20">
        <v>0</v>
      </c>
      <c r="F20" t="s">
        <v>83</v>
      </c>
      <c r="G20">
        <v>1</v>
      </c>
    </row>
    <row r="21" spans="1:7" x14ac:dyDescent="0.25">
      <c r="A21" t="s">
        <v>26</v>
      </c>
      <c r="B21">
        <v>8215</v>
      </c>
      <c r="C21">
        <v>1</v>
      </c>
      <c r="D21">
        <v>1</v>
      </c>
      <c r="E21">
        <v>0</v>
      </c>
      <c r="F21" t="s">
        <v>83</v>
      </c>
      <c r="G21">
        <v>0</v>
      </c>
    </row>
    <row r="22" spans="1:7" x14ac:dyDescent="0.25">
      <c r="A22" t="s">
        <v>26</v>
      </c>
      <c r="B22">
        <v>8307</v>
      </c>
      <c r="C22">
        <v>1</v>
      </c>
      <c r="D22">
        <v>1</v>
      </c>
      <c r="E22">
        <v>0</v>
      </c>
      <c r="F22" t="s">
        <v>83</v>
      </c>
      <c r="G22">
        <v>0</v>
      </c>
    </row>
    <row r="23" spans="1:7" x14ac:dyDescent="0.25">
      <c r="A23" t="s">
        <v>142</v>
      </c>
      <c r="B23">
        <v>8610</v>
      </c>
      <c r="C23">
        <v>2</v>
      </c>
      <c r="D23">
        <v>1</v>
      </c>
      <c r="E23">
        <v>0</v>
      </c>
      <c r="F23" t="s">
        <v>83</v>
      </c>
      <c r="G23">
        <v>1</v>
      </c>
    </row>
    <row r="24" spans="1:7" x14ac:dyDescent="0.25">
      <c r="A24" t="s">
        <v>142</v>
      </c>
      <c r="B24">
        <v>8707</v>
      </c>
      <c r="C24">
        <v>2</v>
      </c>
      <c r="D24">
        <v>1</v>
      </c>
      <c r="E24">
        <v>0</v>
      </c>
      <c r="F24" t="s">
        <v>83</v>
      </c>
      <c r="G24">
        <v>1</v>
      </c>
    </row>
    <row r="25" spans="1:7" x14ac:dyDescent="0.25">
      <c r="A25" t="s">
        <v>142</v>
      </c>
      <c r="B25">
        <v>8796</v>
      </c>
      <c r="C25">
        <v>2</v>
      </c>
      <c r="D25">
        <v>1</v>
      </c>
      <c r="E25">
        <v>0</v>
      </c>
      <c r="F25" t="s">
        <v>83</v>
      </c>
      <c r="G25">
        <v>1</v>
      </c>
    </row>
    <row r="26" spans="1:7" x14ac:dyDescent="0.25">
      <c r="A26" t="s">
        <v>142</v>
      </c>
      <c r="B26">
        <v>8881</v>
      </c>
      <c r="C26">
        <v>2</v>
      </c>
      <c r="D26">
        <v>1</v>
      </c>
      <c r="E26">
        <v>0</v>
      </c>
      <c r="F26" t="s">
        <v>83</v>
      </c>
      <c r="G26">
        <v>1</v>
      </c>
    </row>
    <row r="27" spans="1:7" x14ac:dyDescent="0.25">
      <c r="A27" t="s">
        <v>26</v>
      </c>
      <c r="B27">
        <v>9606</v>
      </c>
      <c r="C27">
        <v>3</v>
      </c>
      <c r="D27">
        <v>1</v>
      </c>
      <c r="E27">
        <v>0</v>
      </c>
      <c r="F27" t="s">
        <v>83</v>
      </c>
      <c r="G27">
        <v>2</v>
      </c>
    </row>
    <row r="28" spans="1:7" x14ac:dyDescent="0.25">
      <c r="A28" t="s">
        <v>150</v>
      </c>
      <c r="B28">
        <v>10067</v>
      </c>
      <c r="C28">
        <v>4</v>
      </c>
      <c r="D28">
        <v>1</v>
      </c>
      <c r="E28">
        <v>0</v>
      </c>
      <c r="F28" t="s">
        <v>83</v>
      </c>
      <c r="G28">
        <v>3</v>
      </c>
    </row>
    <row r="29" spans="1:7" x14ac:dyDescent="0.25">
      <c r="A29" t="s">
        <v>150</v>
      </c>
      <c r="B29">
        <v>10163</v>
      </c>
      <c r="C29">
        <v>4</v>
      </c>
      <c r="D29">
        <v>1</v>
      </c>
      <c r="E29">
        <v>0</v>
      </c>
      <c r="F29" t="s">
        <v>83</v>
      </c>
      <c r="G29">
        <v>3</v>
      </c>
    </row>
    <row r="30" spans="1:7" x14ac:dyDescent="0.25">
      <c r="A30" t="s">
        <v>29</v>
      </c>
      <c r="B30">
        <v>7111</v>
      </c>
      <c r="C30">
        <v>1</v>
      </c>
      <c r="D30">
        <v>1</v>
      </c>
      <c r="E30">
        <v>0</v>
      </c>
      <c r="F30" t="s">
        <v>83</v>
      </c>
    </row>
    <row r="31" spans="1:7" x14ac:dyDescent="0.25">
      <c r="A31" t="s">
        <v>29</v>
      </c>
      <c r="B31">
        <v>7194</v>
      </c>
      <c r="C31">
        <v>1</v>
      </c>
      <c r="D31">
        <v>1</v>
      </c>
      <c r="E31">
        <v>0</v>
      </c>
      <c r="F31" t="s">
        <v>83</v>
      </c>
    </row>
    <row r="32" spans="1:7" x14ac:dyDescent="0.25">
      <c r="A32" t="s">
        <v>29</v>
      </c>
      <c r="B32">
        <v>7273</v>
      </c>
      <c r="C32">
        <v>1</v>
      </c>
      <c r="D32">
        <v>1</v>
      </c>
      <c r="E32">
        <v>0</v>
      </c>
      <c r="F32" t="s">
        <v>83</v>
      </c>
    </row>
    <row r="33" spans="1:6" x14ac:dyDescent="0.25">
      <c r="A33" t="s">
        <v>30</v>
      </c>
      <c r="B33">
        <v>8025</v>
      </c>
      <c r="C33">
        <v>1</v>
      </c>
      <c r="D33">
        <v>1</v>
      </c>
      <c r="E33">
        <v>0</v>
      </c>
      <c r="F33" t="s">
        <v>83</v>
      </c>
    </row>
    <row r="34" spans="1:6" x14ac:dyDescent="0.25">
      <c r="A34" t="s">
        <v>30</v>
      </c>
      <c r="B34">
        <v>8657</v>
      </c>
      <c r="C34">
        <v>1</v>
      </c>
      <c r="D34">
        <v>1</v>
      </c>
      <c r="E34">
        <v>0</v>
      </c>
      <c r="F34" t="s">
        <v>83</v>
      </c>
    </row>
    <row r="35" spans="1:6" x14ac:dyDescent="0.25">
      <c r="A35" t="s">
        <v>30</v>
      </c>
      <c r="B35">
        <v>10462</v>
      </c>
      <c r="C35">
        <v>4</v>
      </c>
      <c r="D35">
        <v>1</v>
      </c>
      <c r="E35">
        <v>0</v>
      </c>
      <c r="F35" t="s">
        <v>83</v>
      </c>
    </row>
    <row r="36" spans="1:6" x14ac:dyDescent="0.25">
      <c r="A36" t="s">
        <v>30</v>
      </c>
      <c r="B36">
        <v>10551</v>
      </c>
      <c r="C36">
        <v>4</v>
      </c>
      <c r="D36">
        <v>1</v>
      </c>
      <c r="E36">
        <v>0</v>
      </c>
      <c r="F36" t="s">
        <v>83</v>
      </c>
    </row>
    <row r="37" spans="1:6" x14ac:dyDescent="0.25">
      <c r="A37" t="s">
        <v>30</v>
      </c>
      <c r="B37">
        <v>10648</v>
      </c>
      <c r="C37">
        <v>4</v>
      </c>
      <c r="D37">
        <v>1</v>
      </c>
      <c r="E37">
        <v>0</v>
      </c>
      <c r="F37" t="s">
        <v>83</v>
      </c>
    </row>
    <row r="38" spans="1:6" x14ac:dyDescent="0.25">
      <c r="A38" t="s">
        <v>30</v>
      </c>
      <c r="B38">
        <v>10745</v>
      </c>
      <c r="C38">
        <v>4</v>
      </c>
      <c r="D38">
        <v>1</v>
      </c>
      <c r="E38">
        <v>0</v>
      </c>
      <c r="F38" t="s">
        <v>83</v>
      </c>
    </row>
    <row r="39" spans="1:6" x14ac:dyDescent="0.25">
      <c r="A39" t="s">
        <v>31</v>
      </c>
      <c r="B39">
        <v>8099</v>
      </c>
      <c r="C39">
        <v>1</v>
      </c>
      <c r="D39">
        <v>1</v>
      </c>
      <c r="E39">
        <v>0</v>
      </c>
      <c r="F39" t="s">
        <v>83</v>
      </c>
    </row>
    <row r="40" spans="1:6" x14ac:dyDescent="0.25">
      <c r="A40" t="s">
        <v>31</v>
      </c>
      <c r="B40">
        <v>8189</v>
      </c>
      <c r="C40">
        <v>1</v>
      </c>
      <c r="D40">
        <v>1</v>
      </c>
      <c r="E40">
        <v>0</v>
      </c>
      <c r="F40" t="s">
        <v>83</v>
      </c>
    </row>
    <row r="41" spans="1:6" x14ac:dyDescent="0.25">
      <c r="A41" t="s">
        <v>43</v>
      </c>
      <c r="B41">
        <v>11610</v>
      </c>
      <c r="C41">
        <v>1</v>
      </c>
      <c r="D41">
        <v>2</v>
      </c>
      <c r="E41">
        <v>0</v>
      </c>
      <c r="F41" t="s">
        <v>156</v>
      </c>
    </row>
    <row r="42" spans="1:6" x14ac:dyDescent="0.25">
      <c r="A42" t="s">
        <v>43</v>
      </c>
      <c r="B42">
        <v>11776</v>
      </c>
      <c r="C42">
        <v>1</v>
      </c>
      <c r="D42">
        <v>2</v>
      </c>
      <c r="E42">
        <v>0</v>
      </c>
      <c r="F42" t="s">
        <v>156</v>
      </c>
    </row>
    <row r="43" spans="1:6" x14ac:dyDescent="0.25">
      <c r="A43" t="s">
        <v>43</v>
      </c>
      <c r="B43">
        <v>11869</v>
      </c>
      <c r="C43">
        <v>1</v>
      </c>
      <c r="D43">
        <v>2</v>
      </c>
      <c r="E43">
        <v>0</v>
      </c>
      <c r="F43" t="s">
        <v>156</v>
      </c>
    </row>
    <row r="44" spans="1:6" x14ac:dyDescent="0.25">
      <c r="A44" t="s">
        <v>43</v>
      </c>
      <c r="B44">
        <v>11989</v>
      </c>
      <c r="C44">
        <v>1</v>
      </c>
      <c r="D44">
        <v>2</v>
      </c>
      <c r="E44">
        <v>0</v>
      </c>
      <c r="F44" t="s">
        <v>156</v>
      </c>
    </row>
    <row r="45" spans="1:6" x14ac:dyDescent="0.25">
      <c r="A45" t="s">
        <v>43</v>
      </c>
      <c r="B45">
        <v>12191</v>
      </c>
      <c r="C45">
        <v>1</v>
      </c>
      <c r="D45">
        <v>2</v>
      </c>
      <c r="E45">
        <v>0</v>
      </c>
      <c r="F45" t="s">
        <v>156</v>
      </c>
    </row>
    <row r="46" spans="1:6" x14ac:dyDescent="0.25">
      <c r="A46" t="s">
        <v>43</v>
      </c>
      <c r="B46">
        <v>12295</v>
      </c>
      <c r="C46">
        <v>1</v>
      </c>
      <c r="D46">
        <v>2</v>
      </c>
      <c r="E46">
        <v>0</v>
      </c>
      <c r="F46" t="s">
        <v>156</v>
      </c>
    </row>
    <row r="47" spans="1:6" x14ac:dyDescent="0.25">
      <c r="A47" t="s">
        <v>43</v>
      </c>
      <c r="B47">
        <v>12393</v>
      </c>
      <c r="C47">
        <v>1</v>
      </c>
      <c r="D47">
        <v>2</v>
      </c>
      <c r="E47">
        <v>0</v>
      </c>
      <c r="F47" t="s">
        <v>156</v>
      </c>
    </row>
    <row r="48" spans="1:6" x14ac:dyDescent="0.25">
      <c r="A48" t="s">
        <v>43</v>
      </c>
      <c r="B48">
        <v>12478</v>
      </c>
      <c r="C48">
        <v>1</v>
      </c>
      <c r="D48">
        <v>2</v>
      </c>
      <c r="E48">
        <v>0</v>
      </c>
      <c r="F48" t="s">
        <v>156</v>
      </c>
    </row>
    <row r="49" spans="1:8" x14ac:dyDescent="0.25">
      <c r="A49" t="s">
        <v>43</v>
      </c>
      <c r="B49">
        <v>12568</v>
      </c>
      <c r="C49">
        <v>1</v>
      </c>
      <c r="D49">
        <v>2</v>
      </c>
      <c r="E49">
        <v>0</v>
      </c>
      <c r="F49" t="s">
        <v>156</v>
      </c>
    </row>
    <row r="50" spans="1:8" x14ac:dyDescent="0.25">
      <c r="A50" t="s">
        <v>43</v>
      </c>
      <c r="B50">
        <v>12660</v>
      </c>
      <c r="C50">
        <v>1</v>
      </c>
      <c r="D50">
        <v>2</v>
      </c>
      <c r="E50">
        <v>0</v>
      </c>
      <c r="F50" t="s">
        <v>156</v>
      </c>
    </row>
    <row r="51" spans="1:8" x14ac:dyDescent="0.25">
      <c r="A51" t="s">
        <v>43</v>
      </c>
      <c r="B51">
        <v>12758</v>
      </c>
      <c r="C51">
        <v>1</v>
      </c>
      <c r="D51">
        <v>2</v>
      </c>
      <c r="E51">
        <v>0</v>
      </c>
      <c r="F51" t="s">
        <v>156</v>
      </c>
      <c r="G51">
        <v>1</v>
      </c>
      <c r="H51" t="s">
        <v>157</v>
      </c>
    </row>
    <row r="52" spans="1:8" x14ac:dyDescent="0.25">
      <c r="A52" t="s">
        <v>43</v>
      </c>
      <c r="B52">
        <v>12758</v>
      </c>
      <c r="C52">
        <v>1</v>
      </c>
      <c r="D52">
        <v>2</v>
      </c>
      <c r="E52">
        <v>0</v>
      </c>
      <c r="F52" t="s">
        <v>156</v>
      </c>
      <c r="G52">
        <v>1</v>
      </c>
    </row>
    <row r="53" spans="1:8" x14ac:dyDescent="0.25">
      <c r="A53" t="s">
        <v>43</v>
      </c>
      <c r="B53">
        <v>12850</v>
      </c>
      <c r="C53">
        <v>1</v>
      </c>
      <c r="D53">
        <v>2</v>
      </c>
      <c r="E53">
        <v>0</v>
      </c>
      <c r="F53" t="s">
        <v>156</v>
      </c>
      <c r="G53">
        <v>1</v>
      </c>
    </row>
    <row r="54" spans="1:8" x14ac:dyDescent="0.25">
      <c r="A54" t="s">
        <v>43</v>
      </c>
      <c r="B54">
        <v>12932</v>
      </c>
      <c r="C54">
        <v>1</v>
      </c>
      <c r="D54">
        <v>2</v>
      </c>
      <c r="E54">
        <v>0</v>
      </c>
      <c r="F54" t="s">
        <v>156</v>
      </c>
      <c r="G54">
        <v>1</v>
      </c>
    </row>
    <row r="55" spans="1:8" x14ac:dyDescent="0.25">
      <c r="A55" t="s">
        <v>43</v>
      </c>
      <c r="B55">
        <v>13041</v>
      </c>
      <c r="C55">
        <v>1</v>
      </c>
      <c r="D55">
        <v>2</v>
      </c>
      <c r="E55">
        <v>0</v>
      </c>
      <c r="F55" t="s">
        <v>156</v>
      </c>
      <c r="G55">
        <v>1</v>
      </c>
    </row>
    <row r="56" spans="1:8" x14ac:dyDescent="0.25">
      <c r="A56" t="s">
        <v>43</v>
      </c>
      <c r="B56">
        <v>12178</v>
      </c>
      <c r="C56">
        <v>1</v>
      </c>
      <c r="D56">
        <v>1</v>
      </c>
      <c r="E56">
        <v>0</v>
      </c>
      <c r="F56" t="s">
        <v>83</v>
      </c>
    </row>
    <row r="57" spans="1:8" x14ac:dyDescent="0.25">
      <c r="A57" t="s">
        <v>43</v>
      </c>
      <c r="B57">
        <v>12283</v>
      </c>
      <c r="C57">
        <v>1</v>
      </c>
      <c r="D57">
        <v>1</v>
      </c>
      <c r="E57">
        <v>0</v>
      </c>
      <c r="F57" t="s">
        <v>83</v>
      </c>
    </row>
    <row r="58" spans="1:8" x14ac:dyDescent="0.25">
      <c r="A58" t="s">
        <v>43</v>
      </c>
      <c r="B58">
        <v>12384</v>
      </c>
      <c r="C58">
        <v>1</v>
      </c>
      <c r="D58">
        <v>1</v>
      </c>
      <c r="E58">
        <v>0</v>
      </c>
      <c r="F58" t="s">
        <v>83</v>
      </c>
    </row>
    <row r="59" spans="1:8" x14ac:dyDescent="0.25">
      <c r="A59" t="s">
        <v>43</v>
      </c>
      <c r="B59">
        <v>12475</v>
      </c>
      <c r="C59">
        <v>1</v>
      </c>
      <c r="D59">
        <v>1</v>
      </c>
      <c r="E59">
        <v>0</v>
      </c>
      <c r="F59" t="s">
        <v>83</v>
      </c>
    </row>
    <row r="60" spans="1:8" x14ac:dyDescent="0.25">
      <c r="A60" t="s">
        <v>43</v>
      </c>
      <c r="B60">
        <v>12135</v>
      </c>
      <c r="C60">
        <v>1</v>
      </c>
      <c r="D60">
        <v>1</v>
      </c>
      <c r="E60">
        <v>0</v>
      </c>
      <c r="F60" t="s">
        <v>161</v>
      </c>
    </row>
    <row r="61" spans="1:8" x14ac:dyDescent="0.25">
      <c r="A61" t="s">
        <v>43</v>
      </c>
      <c r="B61">
        <v>12238</v>
      </c>
      <c r="C61">
        <v>1</v>
      </c>
      <c r="D61">
        <v>1</v>
      </c>
      <c r="E61">
        <v>0</v>
      </c>
      <c r="F61" t="s">
        <v>161</v>
      </c>
    </row>
    <row r="62" spans="1:8" x14ac:dyDescent="0.25">
      <c r="A62" t="s">
        <v>43</v>
      </c>
      <c r="B62">
        <v>12333</v>
      </c>
      <c r="C62">
        <v>1</v>
      </c>
      <c r="D62">
        <v>1</v>
      </c>
      <c r="E62">
        <v>0</v>
      </c>
      <c r="F62" t="s">
        <v>161</v>
      </c>
    </row>
    <row r="63" spans="1:8" x14ac:dyDescent="0.25">
      <c r="A63" t="s">
        <v>43</v>
      </c>
      <c r="B63">
        <v>12431</v>
      </c>
      <c r="C63">
        <v>1</v>
      </c>
      <c r="D63">
        <v>1</v>
      </c>
      <c r="E63">
        <v>0</v>
      </c>
      <c r="F63" t="s">
        <v>161</v>
      </c>
    </row>
    <row r="64" spans="1:8" x14ac:dyDescent="0.25">
      <c r="A64" t="s">
        <v>45</v>
      </c>
      <c r="B64">
        <v>12067</v>
      </c>
      <c r="C64">
        <v>1</v>
      </c>
      <c r="D64">
        <v>2</v>
      </c>
      <c r="E64">
        <v>0</v>
      </c>
      <c r="F64" t="s">
        <v>156</v>
      </c>
    </row>
    <row r="65" spans="1:6" x14ac:dyDescent="0.25">
      <c r="A65" t="s">
        <v>45</v>
      </c>
      <c r="B65">
        <v>12170</v>
      </c>
      <c r="C65">
        <v>1</v>
      </c>
      <c r="D65">
        <v>2</v>
      </c>
      <c r="E65">
        <v>0</v>
      </c>
      <c r="F65" t="s">
        <v>156</v>
      </c>
    </row>
    <row r="66" spans="1:6" x14ac:dyDescent="0.25">
      <c r="A66" t="s">
        <v>45</v>
      </c>
      <c r="B66">
        <v>12334</v>
      </c>
      <c r="C66">
        <v>1</v>
      </c>
      <c r="D66">
        <v>2</v>
      </c>
      <c r="E66">
        <v>0</v>
      </c>
      <c r="F66" t="s">
        <v>156</v>
      </c>
    </row>
    <row r="67" spans="1:6" x14ac:dyDescent="0.25">
      <c r="A67" t="s">
        <v>45</v>
      </c>
      <c r="B67">
        <v>12425</v>
      </c>
      <c r="C67">
        <v>2</v>
      </c>
      <c r="D67">
        <v>2</v>
      </c>
      <c r="E67">
        <v>0</v>
      </c>
      <c r="F67" t="s">
        <v>156</v>
      </c>
    </row>
    <row r="68" spans="1:6" x14ac:dyDescent="0.25">
      <c r="A68" t="s">
        <v>45</v>
      </c>
      <c r="B68">
        <v>12525</v>
      </c>
      <c r="C68">
        <v>2</v>
      </c>
      <c r="D68">
        <v>2</v>
      </c>
      <c r="E68">
        <v>0</v>
      </c>
      <c r="F68" t="s">
        <v>156</v>
      </c>
    </row>
    <row r="69" spans="1:6" x14ac:dyDescent="0.25">
      <c r="A69" t="s">
        <v>45</v>
      </c>
      <c r="B69">
        <v>12611</v>
      </c>
      <c r="C69">
        <v>2</v>
      </c>
      <c r="D69">
        <v>2</v>
      </c>
      <c r="E69">
        <v>0</v>
      </c>
      <c r="F69" t="s">
        <v>156</v>
      </c>
    </row>
    <row r="70" spans="1:6" x14ac:dyDescent="0.25">
      <c r="A70" t="s">
        <v>45</v>
      </c>
      <c r="B70">
        <v>12707</v>
      </c>
      <c r="C70">
        <v>2</v>
      </c>
      <c r="D70">
        <v>2</v>
      </c>
      <c r="E70">
        <v>0</v>
      </c>
      <c r="F70" t="s">
        <v>156</v>
      </c>
    </row>
    <row r="71" spans="1:6" x14ac:dyDescent="0.25">
      <c r="A71" t="s">
        <v>45</v>
      </c>
      <c r="B71">
        <v>12798</v>
      </c>
      <c r="C71">
        <v>2</v>
      </c>
      <c r="D71">
        <v>2</v>
      </c>
      <c r="E71">
        <v>0</v>
      </c>
      <c r="F71" t="s">
        <v>156</v>
      </c>
    </row>
    <row r="72" spans="1:6" x14ac:dyDescent="0.25">
      <c r="A72" t="s">
        <v>45</v>
      </c>
      <c r="B72">
        <v>12881</v>
      </c>
      <c r="C72">
        <v>2</v>
      </c>
      <c r="D72">
        <v>2</v>
      </c>
      <c r="E72">
        <v>0</v>
      </c>
      <c r="F72" t="s">
        <v>156</v>
      </c>
    </row>
    <row r="73" spans="1:6" x14ac:dyDescent="0.25">
      <c r="A73" t="s">
        <v>45</v>
      </c>
      <c r="B73">
        <v>12970</v>
      </c>
      <c r="C73">
        <v>2</v>
      </c>
      <c r="D73">
        <v>2</v>
      </c>
      <c r="E73">
        <v>0</v>
      </c>
      <c r="F73" t="s">
        <v>156</v>
      </c>
    </row>
    <row r="74" spans="1:6" x14ac:dyDescent="0.25">
      <c r="A74" t="s">
        <v>45</v>
      </c>
      <c r="B74">
        <v>13056</v>
      </c>
      <c r="C74">
        <v>3</v>
      </c>
      <c r="D74">
        <v>2</v>
      </c>
      <c r="E74">
        <v>0</v>
      </c>
      <c r="F74" t="s">
        <v>156</v>
      </c>
    </row>
    <row r="75" spans="1:6" x14ac:dyDescent="0.25">
      <c r="A75" t="s">
        <v>45</v>
      </c>
      <c r="B75">
        <v>13134</v>
      </c>
      <c r="C75">
        <v>3</v>
      </c>
      <c r="D75">
        <v>2</v>
      </c>
      <c r="E75">
        <v>0</v>
      </c>
      <c r="F75" t="s">
        <v>156</v>
      </c>
    </row>
    <row r="76" spans="1:6" x14ac:dyDescent="0.25">
      <c r="A76" t="s">
        <v>45</v>
      </c>
      <c r="B76">
        <v>13277</v>
      </c>
      <c r="C76">
        <v>3</v>
      </c>
      <c r="D76">
        <v>2</v>
      </c>
      <c r="E76">
        <v>0</v>
      </c>
      <c r="F76" t="s">
        <v>156</v>
      </c>
    </row>
    <row r="77" spans="1:6" x14ac:dyDescent="0.25">
      <c r="A77" t="s">
        <v>45</v>
      </c>
      <c r="B77">
        <v>13298</v>
      </c>
      <c r="C77">
        <v>3</v>
      </c>
      <c r="D77">
        <v>2</v>
      </c>
      <c r="E77">
        <v>0</v>
      </c>
      <c r="F77" t="s">
        <v>156</v>
      </c>
    </row>
    <row r="78" spans="1:6" x14ac:dyDescent="0.25">
      <c r="A78" t="s">
        <v>45</v>
      </c>
      <c r="B78">
        <v>13369</v>
      </c>
      <c r="C78">
        <v>3</v>
      </c>
      <c r="D78">
        <v>2</v>
      </c>
      <c r="E78">
        <v>0</v>
      </c>
      <c r="F78" t="s">
        <v>156</v>
      </c>
    </row>
    <row r="79" spans="1:6" x14ac:dyDescent="0.25">
      <c r="A79" t="s">
        <v>45</v>
      </c>
      <c r="B79">
        <v>13428</v>
      </c>
      <c r="C79">
        <v>3</v>
      </c>
      <c r="D79">
        <v>2</v>
      </c>
      <c r="E79">
        <v>0</v>
      </c>
      <c r="F79" t="s">
        <v>156</v>
      </c>
    </row>
    <row r="80" spans="1:6" x14ac:dyDescent="0.25">
      <c r="A80" t="s">
        <v>45</v>
      </c>
      <c r="B80">
        <v>13461</v>
      </c>
      <c r="C80">
        <v>3</v>
      </c>
      <c r="D80">
        <v>2</v>
      </c>
      <c r="E80">
        <v>0</v>
      </c>
      <c r="F80" t="s">
        <v>156</v>
      </c>
    </row>
    <row r="81" spans="1:6" x14ac:dyDescent="0.25">
      <c r="A81" t="s">
        <v>45</v>
      </c>
      <c r="B81">
        <v>13475</v>
      </c>
      <c r="C81">
        <v>3</v>
      </c>
      <c r="D81">
        <v>2</v>
      </c>
      <c r="E81">
        <v>0</v>
      </c>
      <c r="F81" t="s">
        <v>156</v>
      </c>
    </row>
    <row r="82" spans="1:6" x14ac:dyDescent="0.25">
      <c r="A82" t="s">
        <v>47</v>
      </c>
      <c r="B82">
        <v>11258</v>
      </c>
      <c r="C82">
        <v>1</v>
      </c>
      <c r="D82">
        <v>1</v>
      </c>
      <c r="E82">
        <v>0</v>
      </c>
      <c r="F82" t="s">
        <v>83</v>
      </c>
    </row>
    <row r="83" spans="1:6" x14ac:dyDescent="0.25">
      <c r="A83" t="s">
        <v>47</v>
      </c>
      <c r="B83">
        <v>11186</v>
      </c>
      <c r="C83">
        <v>1</v>
      </c>
      <c r="D83">
        <v>2</v>
      </c>
      <c r="E83">
        <v>0</v>
      </c>
      <c r="F83" t="s">
        <v>156</v>
      </c>
    </row>
    <row r="84" spans="1:6" x14ac:dyDescent="0.25">
      <c r="A84" t="s">
        <v>47</v>
      </c>
      <c r="B84">
        <v>11275</v>
      </c>
      <c r="C84">
        <v>1</v>
      </c>
      <c r="D84">
        <v>2</v>
      </c>
      <c r="E84">
        <v>0</v>
      </c>
      <c r="F84" t="s">
        <v>156</v>
      </c>
    </row>
    <row r="85" spans="1:6" x14ac:dyDescent="0.25">
      <c r="A85" t="s">
        <v>47</v>
      </c>
      <c r="B85">
        <v>11365</v>
      </c>
      <c r="C85">
        <v>1</v>
      </c>
      <c r="D85">
        <v>2</v>
      </c>
      <c r="E85">
        <v>0</v>
      </c>
      <c r="F85" t="s">
        <v>156</v>
      </c>
    </row>
    <row r="86" spans="1:6" x14ac:dyDescent="0.25">
      <c r="A86" t="s">
        <v>49</v>
      </c>
      <c r="B86">
        <v>11911</v>
      </c>
      <c r="C86">
        <v>1</v>
      </c>
      <c r="D86">
        <v>2</v>
      </c>
      <c r="E86">
        <v>0</v>
      </c>
      <c r="F86" t="s">
        <v>156</v>
      </c>
    </row>
    <row r="87" spans="1:6" x14ac:dyDescent="0.25">
      <c r="A87" t="s">
        <v>49</v>
      </c>
      <c r="B87">
        <v>12007</v>
      </c>
      <c r="C87">
        <v>1</v>
      </c>
      <c r="D87">
        <v>2</v>
      </c>
      <c r="E87">
        <v>0</v>
      </c>
      <c r="F87" t="s">
        <v>156</v>
      </c>
    </row>
    <row r="88" spans="1:6" x14ac:dyDescent="0.25">
      <c r="A88" t="s">
        <v>51</v>
      </c>
      <c r="B88">
        <v>10961</v>
      </c>
      <c r="C88">
        <v>1</v>
      </c>
      <c r="D88">
        <v>2</v>
      </c>
      <c r="E88">
        <v>0</v>
      </c>
      <c r="F88" t="s">
        <v>156</v>
      </c>
    </row>
    <row r="89" spans="1:6" x14ac:dyDescent="0.25">
      <c r="A89" t="s">
        <v>51</v>
      </c>
      <c r="B89">
        <v>11058</v>
      </c>
      <c r="C89">
        <v>1</v>
      </c>
      <c r="D89">
        <v>2</v>
      </c>
      <c r="E89">
        <v>0</v>
      </c>
      <c r="F89" t="s">
        <v>156</v>
      </c>
    </row>
    <row r="90" spans="1:6" x14ac:dyDescent="0.25">
      <c r="A90" t="s">
        <v>51</v>
      </c>
      <c r="B90">
        <v>11160</v>
      </c>
      <c r="C90">
        <v>1</v>
      </c>
      <c r="D90">
        <v>2</v>
      </c>
      <c r="E90">
        <v>0</v>
      </c>
      <c r="F90" t="s">
        <v>156</v>
      </c>
    </row>
    <row r="91" spans="1:6" x14ac:dyDescent="0.25">
      <c r="A91" t="s">
        <v>51</v>
      </c>
      <c r="B91">
        <v>11247</v>
      </c>
      <c r="C91">
        <v>1</v>
      </c>
      <c r="D91">
        <v>2</v>
      </c>
      <c r="E91">
        <v>0</v>
      </c>
      <c r="F91" t="s">
        <v>156</v>
      </c>
    </row>
    <row r="92" spans="1:6" x14ac:dyDescent="0.25">
      <c r="A92" t="s">
        <v>51</v>
      </c>
      <c r="B92">
        <v>11339</v>
      </c>
      <c r="C92">
        <v>1</v>
      </c>
      <c r="D92">
        <v>2</v>
      </c>
      <c r="E92">
        <v>0</v>
      </c>
      <c r="F92" t="s">
        <v>156</v>
      </c>
    </row>
    <row r="93" spans="1:6" x14ac:dyDescent="0.25">
      <c r="A93" t="s">
        <v>51</v>
      </c>
      <c r="B93">
        <v>11544</v>
      </c>
      <c r="C93">
        <v>1</v>
      </c>
      <c r="D93">
        <v>2</v>
      </c>
      <c r="E93">
        <v>0</v>
      </c>
      <c r="F93" t="s">
        <v>156</v>
      </c>
    </row>
    <row r="94" spans="1:6" x14ac:dyDescent="0.25">
      <c r="A94" t="s">
        <v>51</v>
      </c>
      <c r="B94">
        <v>11676</v>
      </c>
      <c r="C94">
        <v>1</v>
      </c>
      <c r="D94">
        <v>2</v>
      </c>
      <c r="E94">
        <v>0</v>
      </c>
      <c r="F94" t="s">
        <v>156</v>
      </c>
    </row>
    <row r="95" spans="1:6" x14ac:dyDescent="0.25">
      <c r="A95" t="s">
        <v>53</v>
      </c>
      <c r="B95">
        <v>11843</v>
      </c>
      <c r="C95">
        <v>2</v>
      </c>
      <c r="D95">
        <v>2</v>
      </c>
      <c r="E95">
        <v>0</v>
      </c>
      <c r="F95" t="s">
        <v>156</v>
      </c>
    </row>
    <row r="96" spans="1:6" x14ac:dyDescent="0.25">
      <c r="A96" t="s">
        <v>63</v>
      </c>
      <c r="B96">
        <v>14316</v>
      </c>
      <c r="C96">
        <v>1</v>
      </c>
      <c r="D96">
        <v>2</v>
      </c>
      <c r="E96">
        <v>0</v>
      </c>
      <c r="F96" t="s">
        <v>156</v>
      </c>
    </row>
    <row r="97" spans="1:6" x14ac:dyDescent="0.25">
      <c r="A97" t="s">
        <v>63</v>
      </c>
      <c r="B97">
        <v>14394</v>
      </c>
      <c r="C97">
        <v>1</v>
      </c>
      <c r="D97">
        <v>2</v>
      </c>
      <c r="E97">
        <v>0</v>
      </c>
      <c r="F97" t="s">
        <v>156</v>
      </c>
    </row>
    <row r="98" spans="1:6" x14ac:dyDescent="0.25">
      <c r="A98" t="s">
        <v>63</v>
      </c>
      <c r="B98">
        <v>14482</v>
      </c>
      <c r="C98">
        <v>1</v>
      </c>
      <c r="D98">
        <v>2</v>
      </c>
      <c r="E98">
        <v>0</v>
      </c>
      <c r="F98" t="s">
        <v>156</v>
      </c>
    </row>
    <row r="99" spans="1:6" x14ac:dyDescent="0.25">
      <c r="A99" t="s">
        <v>63</v>
      </c>
      <c r="B99">
        <v>14573</v>
      </c>
      <c r="C99">
        <v>1</v>
      </c>
      <c r="D99">
        <v>2</v>
      </c>
      <c r="E99">
        <v>0</v>
      </c>
      <c r="F99" t="s">
        <v>156</v>
      </c>
    </row>
    <row r="100" spans="1:6" x14ac:dyDescent="0.25">
      <c r="A100" t="s">
        <v>63</v>
      </c>
      <c r="B100">
        <v>14659</v>
      </c>
      <c r="C100">
        <v>1</v>
      </c>
      <c r="D100">
        <v>2</v>
      </c>
      <c r="E100">
        <v>0</v>
      </c>
      <c r="F100" t="s">
        <v>156</v>
      </c>
    </row>
    <row r="101" spans="1:6" x14ac:dyDescent="0.25">
      <c r="A101" t="s">
        <v>63</v>
      </c>
      <c r="B101">
        <v>14741</v>
      </c>
      <c r="C101">
        <v>1</v>
      </c>
      <c r="D101">
        <v>2</v>
      </c>
      <c r="E101">
        <v>0</v>
      </c>
      <c r="F101" t="s">
        <v>156</v>
      </c>
    </row>
    <row r="102" spans="1:6" x14ac:dyDescent="0.25">
      <c r="A102" t="s">
        <v>63</v>
      </c>
      <c r="B102">
        <v>14825</v>
      </c>
      <c r="C102">
        <v>1</v>
      </c>
      <c r="D102">
        <v>2</v>
      </c>
      <c r="E102">
        <v>0</v>
      </c>
      <c r="F102" t="s">
        <v>156</v>
      </c>
    </row>
    <row r="103" spans="1:6" x14ac:dyDescent="0.25">
      <c r="A103" t="s">
        <v>63</v>
      </c>
      <c r="B103">
        <v>14912</v>
      </c>
      <c r="C103">
        <v>1</v>
      </c>
      <c r="D103">
        <v>2</v>
      </c>
      <c r="E103">
        <v>0</v>
      </c>
      <c r="F103" t="s">
        <v>156</v>
      </c>
    </row>
    <row r="104" spans="1:6" x14ac:dyDescent="0.25">
      <c r="A104" t="s">
        <v>63</v>
      </c>
      <c r="B104">
        <v>14996</v>
      </c>
      <c r="C104">
        <v>1</v>
      </c>
      <c r="D104">
        <v>2</v>
      </c>
      <c r="E104">
        <v>0</v>
      </c>
      <c r="F104" t="s">
        <v>156</v>
      </c>
    </row>
    <row r="105" spans="1:6" x14ac:dyDescent="0.25">
      <c r="A105" t="s">
        <v>65</v>
      </c>
      <c r="B105">
        <v>14981</v>
      </c>
      <c r="C105">
        <v>4</v>
      </c>
      <c r="D105">
        <v>2</v>
      </c>
      <c r="E105">
        <v>0</v>
      </c>
      <c r="F105" t="s">
        <v>156</v>
      </c>
    </row>
    <row r="106" spans="1:6" x14ac:dyDescent="0.25">
      <c r="A106" t="s">
        <v>65</v>
      </c>
      <c r="B106">
        <v>15068</v>
      </c>
      <c r="C106">
        <v>4</v>
      </c>
      <c r="D106">
        <v>2</v>
      </c>
      <c r="E106">
        <v>0</v>
      </c>
      <c r="F106" t="s">
        <v>156</v>
      </c>
    </row>
    <row r="107" spans="1:6" x14ac:dyDescent="0.25">
      <c r="A107" t="s">
        <v>65</v>
      </c>
      <c r="B107">
        <v>15155</v>
      </c>
      <c r="C107">
        <v>4</v>
      </c>
      <c r="D107">
        <v>2</v>
      </c>
      <c r="E107">
        <v>0</v>
      </c>
      <c r="F107" t="s">
        <v>156</v>
      </c>
    </row>
    <row r="108" spans="1:6" x14ac:dyDescent="0.25">
      <c r="A108" t="s">
        <v>167</v>
      </c>
      <c r="B108">
        <v>14759</v>
      </c>
      <c r="C108">
        <v>1</v>
      </c>
      <c r="D108">
        <v>2</v>
      </c>
      <c r="E108">
        <v>0</v>
      </c>
      <c r="F108" t="s">
        <v>156</v>
      </c>
    </row>
    <row r="109" spans="1:6" x14ac:dyDescent="0.25">
      <c r="A109" t="s">
        <v>167</v>
      </c>
      <c r="B109">
        <v>14846</v>
      </c>
      <c r="C109">
        <v>1</v>
      </c>
      <c r="D109">
        <v>2</v>
      </c>
      <c r="E109">
        <v>0</v>
      </c>
      <c r="F109" t="s">
        <v>156</v>
      </c>
    </row>
    <row r="110" spans="1:6" x14ac:dyDescent="0.25">
      <c r="A110" t="s">
        <v>68</v>
      </c>
      <c r="B110">
        <v>15077</v>
      </c>
      <c r="C110">
        <v>4</v>
      </c>
      <c r="D110">
        <v>2</v>
      </c>
      <c r="E110">
        <v>0</v>
      </c>
      <c r="F110" t="s">
        <v>156</v>
      </c>
    </row>
    <row r="111" spans="1:6" x14ac:dyDescent="0.25">
      <c r="A111" t="s">
        <v>68</v>
      </c>
      <c r="B111">
        <v>15171</v>
      </c>
      <c r="C111">
        <v>4</v>
      </c>
      <c r="D111">
        <v>2</v>
      </c>
      <c r="E111">
        <v>0</v>
      </c>
      <c r="F111" t="s">
        <v>156</v>
      </c>
    </row>
    <row r="112" spans="1:6" x14ac:dyDescent="0.25">
      <c r="A112" t="s">
        <v>73</v>
      </c>
      <c r="B112">
        <v>16161</v>
      </c>
      <c r="C112">
        <v>1</v>
      </c>
      <c r="D112">
        <v>2</v>
      </c>
      <c r="E112">
        <v>1</v>
      </c>
      <c r="F112" t="s">
        <v>156</v>
      </c>
    </row>
    <row r="113" spans="1:6" x14ac:dyDescent="0.25">
      <c r="A113" t="s">
        <v>73</v>
      </c>
      <c r="B113">
        <v>16186</v>
      </c>
      <c r="C113">
        <v>1</v>
      </c>
      <c r="D113">
        <v>2</v>
      </c>
      <c r="E113">
        <v>1</v>
      </c>
      <c r="F113" t="s">
        <v>156</v>
      </c>
    </row>
    <row r="114" spans="1:6" x14ac:dyDescent="0.25">
      <c r="A114" t="s">
        <v>73</v>
      </c>
      <c r="B114">
        <v>16510</v>
      </c>
      <c r="C114">
        <v>1</v>
      </c>
      <c r="D114">
        <v>2</v>
      </c>
      <c r="E114">
        <v>1</v>
      </c>
      <c r="F114" t="s">
        <v>156</v>
      </c>
    </row>
    <row r="115" spans="1:6" x14ac:dyDescent="0.25">
      <c r="A115" t="s">
        <v>73</v>
      </c>
      <c r="B115">
        <v>16580</v>
      </c>
      <c r="C115">
        <v>1</v>
      </c>
      <c r="D115">
        <v>2</v>
      </c>
      <c r="E115">
        <v>1</v>
      </c>
      <c r="F115" t="s">
        <v>156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11EA-2936-43B0-A0E7-BCD1C3337C41}">
  <dimension ref="A1"/>
  <sheetViews>
    <sheetView workbookViewId="0"/>
  </sheetViews>
  <sheetFormatPr defaultColWidth="8.75" defaultRowHeight="16.5" x14ac:dyDescent="0.2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FE90-09BA-46FC-B714-59903BDD25AC}">
  <dimension ref="A1:B15"/>
  <sheetViews>
    <sheetView workbookViewId="0">
      <selection activeCell="B15" sqref="B15"/>
    </sheetView>
  </sheetViews>
  <sheetFormatPr defaultColWidth="8.75" defaultRowHeight="16.5" x14ac:dyDescent="0.25"/>
  <cols>
    <col min="1" max="1" width="22" customWidth="1"/>
    <col min="2" max="2" width="47.1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15</v>
      </c>
      <c r="B2" s="1">
        <v>45491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10" spans="1:2" x14ac:dyDescent="0.25">
      <c r="A10" t="s">
        <v>112</v>
      </c>
    </row>
    <row r="11" spans="1:2" ht="66" x14ac:dyDescent="0.25">
      <c r="B11" s="3" t="s">
        <v>113</v>
      </c>
    </row>
    <row r="13" spans="1:2" x14ac:dyDescent="0.25">
      <c r="B13" t="s">
        <v>176</v>
      </c>
    </row>
    <row r="14" spans="1:2" x14ac:dyDescent="0.25">
      <c r="B14" s="5" t="s">
        <v>181</v>
      </c>
    </row>
    <row r="15" spans="1:2" x14ac:dyDescent="0.25">
      <c r="B15" t="s">
        <v>182</v>
      </c>
    </row>
  </sheetData>
  <phoneticPr fontId="2" type="noConversion"/>
  <hyperlinks>
    <hyperlink ref="B14" r:id="rId1" xr:uid="{B1A90598-BDB0-0B4E-8BD5-D19E63959C3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264D-C27F-4AD5-963C-3034536B9C46}">
  <dimension ref="A1:H52"/>
  <sheetViews>
    <sheetView tabSelected="1" topLeftCell="A40" workbookViewId="0">
      <selection activeCell="E46" sqref="E46"/>
    </sheetView>
  </sheetViews>
  <sheetFormatPr defaultColWidth="8.75" defaultRowHeight="16.5" x14ac:dyDescent="0.25"/>
  <cols>
    <col min="1" max="1" width="17" customWidth="1"/>
    <col min="2" max="2" width="13.625" customWidth="1"/>
    <col min="3" max="3" width="10.125" customWidth="1"/>
    <col min="4" max="4" width="35.75" customWidth="1"/>
    <col min="5" max="5" width="17.25" customWidth="1"/>
  </cols>
  <sheetData>
    <row r="1" spans="1:8" x14ac:dyDescent="0.25">
      <c r="A1" t="s">
        <v>118</v>
      </c>
      <c r="B1" t="s">
        <v>119</v>
      </c>
      <c r="C1" t="s">
        <v>120</v>
      </c>
      <c r="D1" t="s">
        <v>121</v>
      </c>
      <c r="E1" t="s">
        <v>124</v>
      </c>
      <c r="F1" t="s">
        <v>130</v>
      </c>
      <c r="G1" t="s">
        <v>131</v>
      </c>
      <c r="H1" t="s">
        <v>132</v>
      </c>
    </row>
    <row r="2" spans="1:8" x14ac:dyDescent="0.25">
      <c r="A2" t="s">
        <v>122</v>
      </c>
      <c r="B2" t="s">
        <v>123</v>
      </c>
      <c r="C2">
        <v>187.09649999999999</v>
      </c>
      <c r="E2" t="s">
        <v>125</v>
      </c>
    </row>
    <row r="3" spans="1:8" x14ac:dyDescent="0.25">
      <c r="A3" t="s">
        <v>193</v>
      </c>
      <c r="B3" t="s">
        <v>123</v>
      </c>
      <c r="C3">
        <v>209.12270000000001</v>
      </c>
    </row>
    <row r="4" spans="1:8" x14ac:dyDescent="0.25">
      <c r="A4" t="s">
        <v>149</v>
      </c>
      <c r="B4" t="s">
        <v>123</v>
      </c>
      <c r="C4">
        <v>228.12299999999999</v>
      </c>
      <c r="D4" t="s">
        <v>148</v>
      </c>
    </row>
    <row r="5" spans="1:8" x14ac:dyDescent="0.25">
      <c r="C5">
        <v>246.1336</v>
      </c>
      <c r="D5" t="s">
        <v>180</v>
      </c>
    </row>
    <row r="6" spans="1:8" x14ac:dyDescent="0.25">
      <c r="A6" t="s">
        <v>149</v>
      </c>
      <c r="B6" t="s">
        <v>123</v>
      </c>
      <c r="C6">
        <v>260.14920000000001</v>
      </c>
    </row>
    <row r="7" spans="1:8" x14ac:dyDescent="0.25">
      <c r="A7" t="s">
        <v>127</v>
      </c>
      <c r="B7" t="s">
        <v>147</v>
      </c>
      <c r="C7">
        <v>262.16489999999999</v>
      </c>
      <c r="D7" t="s">
        <v>134</v>
      </c>
    </row>
    <row r="8" spans="1:8" x14ac:dyDescent="0.25">
      <c r="B8" t="s">
        <v>146</v>
      </c>
      <c r="C8">
        <v>264.14420000000001</v>
      </c>
      <c r="D8" t="s">
        <v>213</v>
      </c>
    </row>
    <row r="9" spans="1:8" x14ac:dyDescent="0.25">
      <c r="A9" t="s">
        <v>127</v>
      </c>
      <c r="B9" t="s">
        <v>126</v>
      </c>
      <c r="C9">
        <v>276.18049999999999</v>
      </c>
      <c r="D9" t="s">
        <v>128</v>
      </c>
    </row>
    <row r="10" spans="1:8" x14ac:dyDescent="0.25">
      <c r="B10" t="s">
        <v>146</v>
      </c>
      <c r="C10">
        <v>278.15980000000002</v>
      </c>
      <c r="D10" t="s">
        <v>214</v>
      </c>
    </row>
    <row r="11" spans="1:8" x14ac:dyDescent="0.25">
      <c r="A11" t="s">
        <v>127</v>
      </c>
      <c r="B11" t="s">
        <v>146</v>
      </c>
      <c r="C11">
        <v>280.1755</v>
      </c>
      <c r="D11" t="s">
        <v>145</v>
      </c>
    </row>
    <row r="12" spans="1:8" x14ac:dyDescent="0.25">
      <c r="A12" t="s">
        <v>127</v>
      </c>
      <c r="B12" t="s">
        <v>129</v>
      </c>
      <c r="C12">
        <v>294.19110000000001</v>
      </c>
      <c r="D12" t="s">
        <v>128</v>
      </c>
    </row>
    <row r="13" spans="1:8" x14ac:dyDescent="0.25">
      <c r="C13">
        <v>303.1438</v>
      </c>
    </row>
    <row r="14" spans="1:8" x14ac:dyDescent="0.25">
      <c r="C14">
        <v>335.17</v>
      </c>
      <c r="E14">
        <f>C14-C13</f>
        <v>32.026200000000017</v>
      </c>
    </row>
    <row r="15" spans="1:8" x14ac:dyDescent="0.25">
      <c r="A15" t="s">
        <v>178</v>
      </c>
      <c r="C15">
        <v>344.17039999999997</v>
      </c>
      <c r="D15" t="s">
        <v>177</v>
      </c>
    </row>
    <row r="16" spans="1:8" x14ac:dyDescent="0.25">
      <c r="C16">
        <v>374.18099999999998</v>
      </c>
    </row>
    <row r="17" spans="1:5" x14ac:dyDescent="0.25">
      <c r="A17" t="s">
        <v>179</v>
      </c>
      <c r="C17">
        <v>376.19659999999999</v>
      </c>
      <c r="E17">
        <f>C17-C16</f>
        <v>2.0156000000000063</v>
      </c>
    </row>
    <row r="18" spans="1:5" x14ac:dyDescent="0.25">
      <c r="C18">
        <v>406.2072</v>
      </c>
      <c r="E18">
        <f>C18-C17</f>
        <v>30.010600000000011</v>
      </c>
    </row>
    <row r="19" spans="1:5" x14ac:dyDescent="0.25">
      <c r="A19" t="s">
        <v>194</v>
      </c>
      <c r="B19" t="s">
        <v>195</v>
      </c>
      <c r="C19">
        <v>420.22280000000001</v>
      </c>
      <c r="D19" t="s">
        <v>185</v>
      </c>
    </row>
    <row r="20" spans="1:5" x14ac:dyDescent="0.25">
      <c r="C20">
        <v>432.22280000000001</v>
      </c>
      <c r="D20" t="s">
        <v>204</v>
      </c>
    </row>
    <row r="21" spans="1:5" x14ac:dyDescent="0.25">
      <c r="B21" t="s">
        <v>123</v>
      </c>
      <c r="C21">
        <v>434.23849999999999</v>
      </c>
      <c r="D21" t="s">
        <v>183</v>
      </c>
    </row>
    <row r="22" spans="1:5" x14ac:dyDescent="0.25">
      <c r="A22" t="s">
        <v>196</v>
      </c>
      <c r="B22" t="s">
        <v>195</v>
      </c>
      <c r="C22">
        <v>450.23340000000002</v>
      </c>
    </row>
    <row r="23" spans="1:5" x14ac:dyDescent="0.25">
      <c r="A23" t="s">
        <v>196</v>
      </c>
      <c r="B23" t="s">
        <v>123</v>
      </c>
      <c r="C23">
        <v>464.24900000000002</v>
      </c>
    </row>
    <row r="24" spans="1:5" x14ac:dyDescent="0.25">
      <c r="C24">
        <v>482.25959999999998</v>
      </c>
      <c r="D24" t="s">
        <v>215</v>
      </c>
    </row>
    <row r="25" spans="1:5" x14ac:dyDescent="0.25">
      <c r="B25" t="s">
        <v>146</v>
      </c>
      <c r="C25">
        <v>484.27519999999998</v>
      </c>
      <c r="D25" t="s">
        <v>171</v>
      </c>
    </row>
    <row r="26" spans="1:5" x14ac:dyDescent="0.25">
      <c r="B26" t="s">
        <v>184</v>
      </c>
      <c r="C26">
        <v>491.25990000000002</v>
      </c>
      <c r="D26" t="s">
        <v>216</v>
      </c>
    </row>
    <row r="27" spans="1:5" x14ac:dyDescent="0.25">
      <c r="C27">
        <v>498.29090000000002</v>
      </c>
    </row>
    <row r="28" spans="1:5" x14ac:dyDescent="0.25">
      <c r="B28" t="s">
        <v>123</v>
      </c>
      <c r="C28">
        <v>505.2756</v>
      </c>
      <c r="D28" t="s">
        <v>208</v>
      </c>
      <c r="E28" t="s">
        <v>175</v>
      </c>
    </row>
    <row r="29" spans="1:5" x14ac:dyDescent="0.25">
      <c r="C29">
        <v>525.30179999999996</v>
      </c>
      <c r="D29" t="s">
        <v>174</v>
      </c>
      <c r="E29" t="s">
        <v>175</v>
      </c>
    </row>
    <row r="30" spans="1:5" x14ac:dyDescent="0.25">
      <c r="B30" t="s">
        <v>123</v>
      </c>
      <c r="C30">
        <v>539.26980000000003</v>
      </c>
      <c r="D30" t="s">
        <v>187</v>
      </c>
    </row>
    <row r="31" spans="1:5" x14ac:dyDescent="0.25">
      <c r="C31">
        <v>539.31740000000002</v>
      </c>
      <c r="D31" t="s">
        <v>172</v>
      </c>
      <c r="E31" t="s">
        <v>175</v>
      </c>
    </row>
    <row r="32" spans="1:5" x14ac:dyDescent="0.25">
      <c r="B32" t="s">
        <v>184</v>
      </c>
      <c r="C32">
        <v>566.28070000000002</v>
      </c>
      <c r="D32" t="s">
        <v>188</v>
      </c>
    </row>
    <row r="33" spans="1:5" x14ac:dyDescent="0.25">
      <c r="B33" t="s">
        <v>123</v>
      </c>
      <c r="C33">
        <v>580.29639999999995</v>
      </c>
      <c r="D33" t="s">
        <v>188</v>
      </c>
    </row>
    <row r="34" spans="1:5" x14ac:dyDescent="0.25">
      <c r="B34" t="s">
        <v>184</v>
      </c>
      <c r="C34">
        <v>596.29129999999998</v>
      </c>
      <c r="D34" t="s">
        <v>189</v>
      </c>
    </row>
    <row r="35" spans="1:5" x14ac:dyDescent="0.25">
      <c r="B35" t="s">
        <v>123</v>
      </c>
      <c r="C35">
        <v>610.30690000000004</v>
      </c>
      <c r="D35" t="s">
        <v>189</v>
      </c>
    </row>
    <row r="36" spans="1:5" x14ac:dyDescent="0.25">
      <c r="B36" t="s">
        <v>129</v>
      </c>
      <c r="C36">
        <v>614.33820000000003</v>
      </c>
      <c r="D36" t="s">
        <v>186</v>
      </c>
    </row>
    <row r="37" spans="1:5" x14ac:dyDescent="0.25">
      <c r="B37" t="s">
        <v>184</v>
      </c>
      <c r="C37">
        <v>624.32259999999997</v>
      </c>
      <c r="D37" t="s">
        <v>217</v>
      </c>
    </row>
    <row r="38" spans="1:5" x14ac:dyDescent="0.25">
      <c r="A38" t="s">
        <v>197</v>
      </c>
      <c r="B38" t="s">
        <v>123</v>
      </c>
      <c r="C38">
        <v>638.33820000000003</v>
      </c>
    </row>
    <row r="39" spans="1:5" x14ac:dyDescent="0.25">
      <c r="B39" t="s">
        <v>123</v>
      </c>
      <c r="C39">
        <v>655.31719999999996</v>
      </c>
      <c r="D39" t="s">
        <v>206</v>
      </c>
    </row>
    <row r="40" spans="1:5" x14ac:dyDescent="0.25">
      <c r="C40">
        <v>655.36479999999995</v>
      </c>
      <c r="D40" t="s">
        <v>143</v>
      </c>
    </row>
    <row r="41" spans="1:5" x14ac:dyDescent="0.25">
      <c r="B41" t="s">
        <v>123</v>
      </c>
      <c r="C41">
        <v>668.34879999999998</v>
      </c>
      <c r="D41" t="s">
        <v>211</v>
      </c>
      <c r="E41" t="s">
        <v>212</v>
      </c>
    </row>
    <row r="42" spans="1:5" x14ac:dyDescent="0.25">
      <c r="B42" t="s">
        <v>123</v>
      </c>
      <c r="C42">
        <v>679.36479999999995</v>
      </c>
      <c r="D42" t="s">
        <v>207</v>
      </c>
    </row>
    <row r="43" spans="1:5" x14ac:dyDescent="0.25">
      <c r="C43">
        <v>685.37530000000004</v>
      </c>
      <c r="D43" t="s">
        <v>144</v>
      </c>
    </row>
    <row r="44" spans="1:5" x14ac:dyDescent="0.25">
      <c r="B44" t="s">
        <v>123</v>
      </c>
      <c r="C44">
        <v>737.37030000000004</v>
      </c>
      <c r="D44" t="s">
        <v>198</v>
      </c>
    </row>
    <row r="45" spans="1:5" x14ac:dyDescent="0.25">
      <c r="C45">
        <v>743.41719999999998</v>
      </c>
      <c r="D45" t="s">
        <v>173</v>
      </c>
      <c r="E45" t="s">
        <v>175</v>
      </c>
    </row>
    <row r="46" spans="1:5" x14ac:dyDescent="0.25">
      <c r="B46" t="s">
        <v>123</v>
      </c>
      <c r="C46">
        <v>767.38080000000002</v>
      </c>
      <c r="D46" t="s">
        <v>199</v>
      </c>
    </row>
    <row r="47" spans="1:5" x14ac:dyDescent="0.25">
      <c r="B47" t="s">
        <v>123</v>
      </c>
      <c r="C47">
        <v>797.39139999999998</v>
      </c>
      <c r="D47" t="s">
        <v>200</v>
      </c>
    </row>
    <row r="48" spans="1:5" x14ac:dyDescent="0.25">
      <c r="A48" t="s">
        <v>201</v>
      </c>
      <c r="B48" t="s">
        <v>123</v>
      </c>
      <c r="C48">
        <v>825.42269999999996</v>
      </c>
    </row>
    <row r="49" spans="1:4" x14ac:dyDescent="0.25">
      <c r="A49" t="s">
        <v>203</v>
      </c>
      <c r="B49" t="s">
        <v>123</v>
      </c>
      <c r="C49">
        <v>842.43799999999999</v>
      </c>
      <c r="D49" t="s">
        <v>202</v>
      </c>
    </row>
    <row r="50" spans="1:4" x14ac:dyDescent="0.25">
      <c r="A50" t="s">
        <v>205</v>
      </c>
      <c r="B50" t="s">
        <v>123</v>
      </c>
      <c r="C50">
        <v>855.43330000000003</v>
      </c>
    </row>
    <row r="51" spans="1:4" x14ac:dyDescent="0.25">
      <c r="B51" t="s">
        <v>123</v>
      </c>
      <c r="C51">
        <v>999.51189999999997</v>
      </c>
      <c r="D51" t="s">
        <v>209</v>
      </c>
    </row>
    <row r="52" spans="1:4" x14ac:dyDescent="0.25">
      <c r="B52" t="s">
        <v>123</v>
      </c>
      <c r="C52">
        <v>1029.5225</v>
      </c>
      <c r="D52" t="s">
        <v>210</v>
      </c>
    </row>
  </sheetData>
  <autoFilter ref="A1:H1" xr:uid="{8C36264D-C27F-4AD5-963C-3034536B9C46}">
    <sortState xmlns:xlrd2="http://schemas.microsoft.com/office/spreadsheetml/2017/richdata2" ref="A2:H52">
      <sortCondition ref="C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B2D5-782B-41CE-B785-043075CF499C}">
  <dimension ref="A1:L5"/>
  <sheetViews>
    <sheetView workbookViewId="0">
      <selection activeCell="I11" sqref="I11"/>
    </sheetView>
  </sheetViews>
  <sheetFormatPr defaultColWidth="8.75" defaultRowHeight="16.5" x14ac:dyDescent="0.25"/>
  <cols>
    <col min="1" max="1" width="18.625" customWidth="1"/>
  </cols>
  <sheetData>
    <row r="1" spans="1:12" x14ac:dyDescent="0.25">
      <c r="A1" t="s">
        <v>77</v>
      </c>
      <c r="G1" s="2" t="s">
        <v>88</v>
      </c>
      <c r="J1" t="s">
        <v>89</v>
      </c>
    </row>
    <row r="2" spans="1:12" x14ac:dyDescent="0.25">
      <c r="E2" t="s">
        <v>87</v>
      </c>
      <c r="F2">
        <v>14</v>
      </c>
      <c r="G2" t="s">
        <v>82</v>
      </c>
      <c r="H2">
        <v>12.000120000000001</v>
      </c>
      <c r="I2" t="s">
        <v>83</v>
      </c>
      <c r="J2">
        <v>1.0007325</v>
      </c>
      <c r="K2" t="s">
        <v>84</v>
      </c>
      <c r="L2">
        <v>16.0001</v>
      </c>
    </row>
    <row r="3" spans="1:12" x14ac:dyDescent="0.25">
      <c r="B3" t="s">
        <v>79</v>
      </c>
      <c r="C3" t="s">
        <v>80</v>
      </c>
      <c r="E3" t="s">
        <v>76</v>
      </c>
    </row>
    <row r="4" spans="1:12" x14ac:dyDescent="0.25">
      <c r="A4" t="s">
        <v>85</v>
      </c>
      <c r="B4" t="s">
        <v>86</v>
      </c>
      <c r="C4">
        <f>8*H2+15*J2+1*F2+6*L2</f>
        <v>221.01254749999998</v>
      </c>
      <c r="E4">
        <v>245</v>
      </c>
    </row>
    <row r="5" spans="1:12" x14ac:dyDescent="0.25">
      <c r="A5" t="s">
        <v>78</v>
      </c>
      <c r="B5" t="s">
        <v>81</v>
      </c>
      <c r="C5">
        <f>6*H2+12*J2+6*L2</f>
        <v>180.01011</v>
      </c>
      <c r="E5">
        <v>204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Props1.xml><?xml version="1.0" encoding="utf-8"?>
<ds:datastoreItem xmlns:ds="http://schemas.openxmlformats.org/officeDocument/2006/customXml" ds:itemID="{1E671EDC-6F53-464A-A6F7-50725C78A0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56A160-7E20-4E69-A931-2BB92B421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823E61-17DC-4359-821B-B50476FA651C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f82b70a8-9591-478e-a6d5-bf315b83c48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Glycanlist</vt:lpstr>
      <vt:lpstr>MSlist</vt:lpstr>
      <vt:lpstr>ML_integration</vt:lpstr>
      <vt:lpstr>information_sheet</vt:lpstr>
      <vt:lpstr>ionlist</vt:lpstr>
      <vt:lpstr>Template for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2024-07-18T07:40:05Z</dcterms:created>
  <dcterms:modified xsi:type="dcterms:W3CDTF">2024-08-18T05:57:58Z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