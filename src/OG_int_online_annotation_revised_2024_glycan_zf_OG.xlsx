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G:\其他電腦\My Computer\GlycoMSParser\src\"/>
    </mc:Choice>
  </mc:AlternateContent>
  <xr:revisionPtr revIDLastSave="0" documentId="13_ncr:1_{C9FD7E94-0156-4989-81F8-70F88865D039}" xr6:coauthVersionLast="47" xr6:coauthVersionMax="47" xr10:uidLastSave="{00000000-0000-0000-0000-000000000000}"/>
  <bookViews>
    <workbookView xWindow="6030" yWindow="3585" windowWidth="18450" windowHeight="10305" activeTab="1" xr2:uid="{4DD463D7-373D-47F4-A03B-74B0493A6743}"/>
  </bookViews>
  <sheets>
    <sheet name="Glycanlist" sheetId="1" r:id="rId1"/>
    <sheet name="MSlist" sheetId="2" r:id="rId2"/>
    <sheet name="ML_integration" sheetId="3" r:id="rId3"/>
    <sheet name="information_sheet" sheetId="4" r:id="rId4"/>
    <sheet name="ionlist" sheetId="6" r:id="rId5"/>
    <sheet name="Template for calculation" sheetId="5" r:id="rId6"/>
  </sheets>
  <definedNames>
    <definedName name="_xlnm._FilterDatabase" localSheetId="0" hidden="1">Glycanlist!$A$1:$P$1</definedName>
    <definedName name="_xlnm._FilterDatabase" localSheetId="4" hidden="1">ionlist!$A$1:$H$1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3" i="1" l="1"/>
  <c r="G53" i="1"/>
  <c r="F53" i="1"/>
  <c r="D53" i="1"/>
  <c r="H50" i="1"/>
  <c r="G50" i="1"/>
  <c r="F50" i="1"/>
  <c r="D50" i="1"/>
  <c r="H41" i="1"/>
  <c r="G41" i="1"/>
  <c r="F41" i="1"/>
  <c r="D41" i="1"/>
  <c r="H42" i="1"/>
  <c r="G42" i="1"/>
  <c r="F42" i="1"/>
  <c r="D42" i="1"/>
  <c r="O30" i="1"/>
  <c r="H13" i="5"/>
  <c r="D30" i="1"/>
  <c r="F30" i="1"/>
  <c r="G30" i="1"/>
  <c r="H30" i="1"/>
  <c r="H24" i="1"/>
  <c r="G24" i="1"/>
  <c r="F24" i="1"/>
  <c r="D24" i="1"/>
  <c r="H22" i="1"/>
  <c r="G22" i="1"/>
  <c r="F22" i="1"/>
  <c r="D22" i="1"/>
  <c r="H21" i="1"/>
  <c r="G21" i="1"/>
  <c r="F21" i="1"/>
  <c r="D21" i="1"/>
  <c r="H26" i="1"/>
  <c r="G26" i="1"/>
  <c r="F26" i="1"/>
  <c r="D26" i="1"/>
  <c r="H20" i="1"/>
  <c r="G20" i="1"/>
  <c r="F20" i="1"/>
  <c r="D20" i="1"/>
  <c r="H23" i="1"/>
  <c r="G23" i="1"/>
  <c r="F23" i="1"/>
  <c r="D23" i="1"/>
  <c r="H17" i="1"/>
  <c r="G17" i="1"/>
  <c r="F17" i="1"/>
  <c r="D17" i="1"/>
  <c r="H12" i="1"/>
  <c r="G12" i="1"/>
  <c r="F12" i="1"/>
  <c r="D12" i="1"/>
  <c r="H8" i="1"/>
  <c r="G8" i="1"/>
  <c r="F8" i="1"/>
  <c r="D8" i="1"/>
  <c r="E18" i="6"/>
  <c r="E14" i="6"/>
  <c r="E17" i="6"/>
  <c r="D70" i="1"/>
  <c r="F70" i="1"/>
  <c r="G70" i="1"/>
  <c r="H70" i="1"/>
  <c r="D69" i="1"/>
  <c r="F69" i="1"/>
  <c r="G69" i="1"/>
  <c r="H69" i="1"/>
  <c r="D68" i="1"/>
  <c r="F68" i="1"/>
  <c r="G68" i="1"/>
  <c r="H68" i="1"/>
  <c r="D67" i="1"/>
  <c r="F67" i="1"/>
  <c r="G67" i="1"/>
  <c r="H67" i="1"/>
  <c r="D65" i="1"/>
  <c r="F65" i="1"/>
  <c r="G65" i="1"/>
  <c r="H65" i="1"/>
  <c r="D61" i="1"/>
  <c r="F61" i="1"/>
  <c r="G61" i="1"/>
  <c r="H61" i="1"/>
  <c r="D52" i="1"/>
  <c r="F52" i="1"/>
  <c r="G52" i="1"/>
  <c r="H52" i="1"/>
  <c r="D43" i="1"/>
  <c r="F43" i="1"/>
  <c r="G43" i="1"/>
  <c r="H43" i="1"/>
  <c r="D38" i="1"/>
  <c r="F38" i="1"/>
  <c r="G38" i="1"/>
  <c r="H38" i="1"/>
  <c r="D35" i="1"/>
  <c r="F35" i="1"/>
  <c r="G35" i="1"/>
  <c r="H35" i="1"/>
  <c r="F33" i="1"/>
  <c r="G33" i="1"/>
  <c r="H33" i="1"/>
  <c r="F34" i="1"/>
  <c r="G34" i="1"/>
  <c r="H34" i="1"/>
  <c r="D33" i="1"/>
  <c r="D34" i="1"/>
  <c r="D29" i="1"/>
  <c r="F29" i="1"/>
  <c r="G29" i="1"/>
  <c r="H29" i="1"/>
  <c r="D27" i="1"/>
  <c r="F27" i="1"/>
  <c r="G27" i="1"/>
  <c r="H27" i="1"/>
  <c r="C4" i="5" l="1"/>
  <c r="C5" i="5"/>
  <c r="D3" i="1"/>
  <c r="F3" i="1"/>
  <c r="G3" i="1"/>
  <c r="H3" i="1"/>
  <c r="D4" i="1"/>
  <c r="F4" i="1"/>
  <c r="G4" i="1"/>
  <c r="H4" i="1"/>
  <c r="D5" i="1"/>
  <c r="F5" i="1"/>
  <c r="G5" i="1"/>
  <c r="H5" i="1"/>
  <c r="D7" i="1"/>
  <c r="F7" i="1"/>
  <c r="G7" i="1"/>
  <c r="H7" i="1"/>
  <c r="D6" i="1"/>
  <c r="F6" i="1"/>
  <c r="G6" i="1"/>
  <c r="H6" i="1"/>
  <c r="D19" i="1"/>
  <c r="F19" i="1"/>
  <c r="G19" i="1"/>
  <c r="H19" i="1"/>
  <c r="D25" i="1"/>
  <c r="F25" i="1"/>
  <c r="G25" i="1"/>
  <c r="H25" i="1"/>
  <c r="F51" i="1"/>
  <c r="G51" i="1"/>
  <c r="H51" i="1"/>
  <c r="F54" i="1"/>
  <c r="G54" i="1"/>
  <c r="H54" i="1"/>
  <c r="F55" i="1"/>
  <c r="G55" i="1"/>
  <c r="H55" i="1"/>
  <c r="F56" i="1"/>
  <c r="G56" i="1"/>
  <c r="H56" i="1"/>
  <c r="F57" i="1"/>
  <c r="G57" i="1"/>
  <c r="H57" i="1"/>
  <c r="F59" i="1"/>
  <c r="G59" i="1"/>
  <c r="H59" i="1"/>
  <c r="F58" i="1"/>
  <c r="G58" i="1"/>
  <c r="H58" i="1"/>
  <c r="F60" i="1"/>
  <c r="G60" i="1"/>
  <c r="H60" i="1"/>
  <c r="F62" i="1"/>
  <c r="G62" i="1"/>
  <c r="H62" i="1"/>
  <c r="F63" i="1"/>
  <c r="G63" i="1"/>
  <c r="H63" i="1"/>
  <c r="F64" i="1"/>
  <c r="G64" i="1"/>
  <c r="H64" i="1"/>
  <c r="F66" i="1"/>
  <c r="G66" i="1"/>
  <c r="H66" i="1"/>
  <c r="F2" i="1"/>
  <c r="G2" i="1"/>
  <c r="H2" i="1"/>
  <c r="D51" i="1"/>
  <c r="D54" i="1"/>
  <c r="D55" i="1"/>
  <c r="D56" i="1"/>
  <c r="D57" i="1"/>
  <c r="D59" i="1"/>
  <c r="D58" i="1"/>
  <c r="D60" i="1"/>
  <c r="D62" i="1"/>
  <c r="D63" i="1"/>
  <c r="D64" i="1"/>
  <c r="D66" i="1"/>
  <c r="D2" i="1"/>
  <c r="F10" i="1"/>
  <c r="G10" i="1"/>
  <c r="H10" i="1"/>
  <c r="F11" i="1"/>
  <c r="G11" i="1"/>
  <c r="H11" i="1"/>
  <c r="F13" i="1"/>
  <c r="G13" i="1"/>
  <c r="H13" i="1"/>
  <c r="F14" i="1"/>
  <c r="G14" i="1"/>
  <c r="H14" i="1"/>
  <c r="F15" i="1"/>
  <c r="G15" i="1"/>
  <c r="H15" i="1"/>
  <c r="F16" i="1"/>
  <c r="G16" i="1"/>
  <c r="H16" i="1"/>
  <c r="F18" i="1"/>
  <c r="G18" i="1"/>
  <c r="H18" i="1"/>
  <c r="F28" i="1"/>
  <c r="G28" i="1"/>
  <c r="H28" i="1"/>
  <c r="F31" i="1"/>
  <c r="G31" i="1"/>
  <c r="H31" i="1"/>
  <c r="F32" i="1"/>
  <c r="G32" i="1"/>
  <c r="H32" i="1"/>
  <c r="F36" i="1"/>
  <c r="G36" i="1"/>
  <c r="H36" i="1"/>
  <c r="F37" i="1"/>
  <c r="G37" i="1"/>
  <c r="H37" i="1"/>
  <c r="F39" i="1"/>
  <c r="G39" i="1"/>
  <c r="H39" i="1"/>
  <c r="F40" i="1"/>
  <c r="G40" i="1"/>
  <c r="H40" i="1"/>
  <c r="F44" i="1"/>
  <c r="G44" i="1"/>
  <c r="H44" i="1"/>
  <c r="F45" i="1"/>
  <c r="G45" i="1"/>
  <c r="H45" i="1"/>
  <c r="F46" i="1"/>
  <c r="G46" i="1"/>
  <c r="H46" i="1"/>
  <c r="F47" i="1"/>
  <c r="G47" i="1"/>
  <c r="H47" i="1"/>
  <c r="F48" i="1"/>
  <c r="G48" i="1"/>
  <c r="H48" i="1"/>
  <c r="F49" i="1"/>
  <c r="G49" i="1"/>
  <c r="H49" i="1"/>
  <c r="D10" i="1"/>
  <c r="D11" i="1"/>
  <c r="D13" i="1"/>
  <c r="D14" i="1"/>
  <c r="D15" i="1"/>
  <c r="D16" i="1"/>
  <c r="D18" i="1"/>
  <c r="D28" i="1"/>
  <c r="D31" i="1"/>
  <c r="D32" i="1"/>
  <c r="D36" i="1"/>
  <c r="D37" i="1"/>
  <c r="D39" i="1"/>
  <c r="D40" i="1"/>
  <c r="D44" i="1"/>
  <c r="D45" i="1"/>
  <c r="D46" i="1"/>
  <c r="D47" i="1"/>
  <c r="D48" i="1"/>
  <c r="D49" i="1"/>
  <c r="H9" i="1"/>
  <c r="G9" i="1"/>
  <c r="F9" i="1"/>
  <c r="D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27B2FD-8F4B-E54E-B2AA-F048FB91E5C4}" keepAlive="1" name="クエリ - zfOGbrain_converted" description="ブック内の 'zfOGbrain_converted' クエリへの接続です。" type="5" refreshedVersion="0" background="1" saveData="1">
    <dbPr connection="Provider=Microsoft.Mashup.OleDb.1;Data Source=$Workbook$;Location=zfOGbrain_converted;Extended Properties=&quot;&quot;" command="SELECT * FROM [zfOGbrain_converted]"/>
  </connection>
</connections>
</file>

<file path=xl/sharedStrings.xml><?xml version="1.0" encoding="utf-8"?>
<sst xmlns="http://schemas.openxmlformats.org/spreadsheetml/2006/main" count="988" uniqueCount="303">
  <si>
    <t>Glycan no (in paper)</t>
    <phoneticPr fontId="2" type="noConversion"/>
  </si>
  <si>
    <t>Glycan name/abbr</t>
    <phoneticPr fontId="2" type="noConversion"/>
  </si>
  <si>
    <t>composition</t>
    <phoneticPr fontId="2" type="noConversion"/>
  </si>
  <si>
    <t>Mass Na+</t>
    <phoneticPr fontId="2" type="noConversion"/>
  </si>
  <si>
    <t>Mass H+</t>
    <phoneticPr fontId="2" type="noConversion"/>
  </si>
  <si>
    <t>Mass 2H+</t>
    <phoneticPr fontId="2" type="noConversion"/>
  </si>
  <si>
    <t>Mass 3H+</t>
    <phoneticPr fontId="2" type="noConversion"/>
  </si>
  <si>
    <t>Mass 4H+ (max)</t>
    <phoneticPr fontId="2" type="noConversion"/>
  </si>
  <si>
    <t>MS2 in Na</t>
    <phoneticPr fontId="2" type="noConversion"/>
  </si>
  <si>
    <t>MS2 in H</t>
    <phoneticPr fontId="2" type="noConversion"/>
  </si>
  <si>
    <t>MS2 in 2H</t>
    <phoneticPr fontId="2" type="noConversion"/>
  </si>
  <si>
    <t>MS2 in 3H</t>
    <phoneticPr fontId="2" type="noConversion"/>
  </si>
  <si>
    <t>MS2 in 4H</t>
    <phoneticPr fontId="2" type="noConversion"/>
  </si>
  <si>
    <t>Criteria of selection</t>
    <phoneticPr fontId="2" type="noConversion"/>
  </si>
  <si>
    <t>note</t>
    <phoneticPr fontId="2" type="noConversion"/>
  </si>
  <si>
    <t>Create date</t>
    <phoneticPr fontId="2" type="noConversion"/>
  </si>
  <si>
    <t>Label</t>
    <phoneticPr fontId="2" type="noConversion"/>
  </si>
  <si>
    <t>value</t>
    <phoneticPr fontId="2" type="noConversion"/>
  </si>
  <si>
    <t>Sample name</t>
    <phoneticPr fontId="2" type="noConversion"/>
  </si>
  <si>
    <t>zebrafish O-glycan brain</t>
    <phoneticPr fontId="2" type="noConversion"/>
  </si>
  <si>
    <t>Experimental info</t>
    <phoneticPr fontId="2" type="noConversion"/>
  </si>
  <si>
    <t>Permethylated; Positive mode</t>
    <phoneticPr fontId="2" type="noConversion"/>
  </si>
  <si>
    <t>H1N1KDN1</t>
    <phoneticPr fontId="2" type="noConversion"/>
  </si>
  <si>
    <t>Core1-KDN</t>
    <phoneticPr fontId="2" type="noConversion"/>
  </si>
  <si>
    <t>Core1-Neu5Ac</t>
    <phoneticPr fontId="2" type="noConversion"/>
  </si>
  <si>
    <t>H1N1S1</t>
    <phoneticPr fontId="2" type="noConversion"/>
  </si>
  <si>
    <t>H1N1G1</t>
    <phoneticPr fontId="2" type="noConversion"/>
  </si>
  <si>
    <t>Core1-Neu5Gc</t>
    <phoneticPr fontId="2" type="noConversion"/>
  </si>
  <si>
    <t>Core2-Neu5Ac</t>
    <phoneticPr fontId="2" type="noConversion"/>
  </si>
  <si>
    <t>N2S1</t>
    <phoneticPr fontId="2" type="noConversion"/>
  </si>
  <si>
    <t>H1N2F1</t>
    <phoneticPr fontId="2" type="noConversion"/>
  </si>
  <si>
    <t>H2N2</t>
    <phoneticPr fontId="2" type="noConversion"/>
  </si>
  <si>
    <t>Core1-LacNAc</t>
    <phoneticPr fontId="2" type="noConversion"/>
  </si>
  <si>
    <t>H1N2S1</t>
    <phoneticPr fontId="2" type="noConversion"/>
  </si>
  <si>
    <t>Core1-zf-GalNAc-Fuc</t>
    <phoneticPr fontId="2" type="noConversion"/>
  </si>
  <si>
    <t>Core1-zf-GalNac-Ac</t>
    <phoneticPr fontId="2" type="noConversion"/>
  </si>
  <si>
    <t>Core1-DiKDN</t>
    <phoneticPr fontId="2" type="noConversion"/>
  </si>
  <si>
    <t>H1N1KDN2</t>
    <phoneticPr fontId="2" type="noConversion"/>
  </si>
  <si>
    <t>Core1-KDN1Ac1</t>
    <phoneticPr fontId="2" type="noConversion"/>
  </si>
  <si>
    <t>H1N1KDN1S1</t>
    <phoneticPr fontId="2" type="noConversion"/>
  </si>
  <si>
    <t>Core3-GalNAc-Fuc</t>
    <phoneticPr fontId="2" type="noConversion"/>
  </si>
  <si>
    <t>N4F1</t>
    <phoneticPr fontId="2" type="noConversion"/>
  </si>
  <si>
    <t>Core1-Neu5Ac2</t>
    <phoneticPr fontId="2" type="noConversion"/>
  </si>
  <si>
    <t>H1N1S2</t>
    <phoneticPr fontId="2" type="noConversion"/>
  </si>
  <si>
    <t>Core1-Neu5AcNeu5Gc</t>
    <phoneticPr fontId="2" type="noConversion"/>
  </si>
  <si>
    <t>H1N1S1G1</t>
    <phoneticPr fontId="2" type="noConversion"/>
  </si>
  <si>
    <t>Core1-zf-GalNAc-Neu5Ac-Fuc</t>
    <phoneticPr fontId="2" type="noConversion"/>
  </si>
  <si>
    <t>H1N2S1F1</t>
    <phoneticPr fontId="2" type="noConversion"/>
  </si>
  <si>
    <t>Core1-Neu5Gc2</t>
    <phoneticPr fontId="2" type="noConversion"/>
  </si>
  <si>
    <t>H1N1G2</t>
    <phoneticPr fontId="2" type="noConversion"/>
  </si>
  <si>
    <t>Core1-zf-GalNAc-Neu5Gc-Fuc</t>
    <phoneticPr fontId="2" type="noConversion"/>
  </si>
  <si>
    <t>H1N2G1F1</t>
    <phoneticPr fontId="2" type="noConversion"/>
  </si>
  <si>
    <t>Core1-zf-GalNAc-Gal-Neu5Ac</t>
    <phoneticPr fontId="2" type="noConversion"/>
  </si>
  <si>
    <t>H2N2S1</t>
    <phoneticPr fontId="2" type="noConversion"/>
  </si>
  <si>
    <t>Core2-Gal-Neu5Ac</t>
    <phoneticPr fontId="2" type="noConversion"/>
  </si>
  <si>
    <t>Core2-zf-Gal2-Fuc</t>
    <phoneticPr fontId="2" type="noConversion"/>
  </si>
  <si>
    <t>H3N2F1</t>
    <phoneticPr fontId="2" type="noConversion"/>
  </si>
  <si>
    <t>H2N2G1</t>
    <phoneticPr fontId="2" type="noConversion"/>
  </si>
  <si>
    <t>Core1-zf-GalNAc-Gal-Neu5Gc</t>
    <phoneticPr fontId="2" type="noConversion"/>
  </si>
  <si>
    <t>Core2-Gal-Neu5Gc</t>
    <phoneticPr fontId="2" type="noConversion"/>
  </si>
  <si>
    <t>Core2-zf-GalNAc2-Fuc2</t>
    <phoneticPr fontId="2" type="noConversion"/>
  </si>
  <si>
    <t>H1N4F2</t>
    <phoneticPr fontId="2" type="noConversion"/>
  </si>
  <si>
    <t>Core1-TriNeu5Ac</t>
    <phoneticPr fontId="2" type="noConversion"/>
  </si>
  <si>
    <t>H1N1S3</t>
    <phoneticPr fontId="2" type="noConversion"/>
  </si>
  <si>
    <t>Core1-DiNeu5Ac-Neu5Gc</t>
    <phoneticPr fontId="2" type="noConversion"/>
  </si>
  <si>
    <t>H1N1S2G1</t>
    <phoneticPr fontId="2" type="noConversion"/>
  </si>
  <si>
    <t>Core2-zf-Gal2-Neu5Ac-Fuc</t>
    <phoneticPr fontId="2" type="noConversion"/>
  </si>
  <si>
    <t>Core2-zf-Gal2-Neu5Gc-Fuc</t>
    <phoneticPr fontId="2" type="noConversion"/>
  </si>
  <si>
    <t>H3N2S1F1</t>
    <phoneticPr fontId="2" type="noConversion"/>
  </si>
  <si>
    <t>H3N2G1F1</t>
    <phoneticPr fontId="2" type="noConversion"/>
  </si>
  <si>
    <t>Core2-zf-GalNAc2-Fuc3</t>
    <phoneticPr fontId="2" type="noConversion"/>
  </si>
  <si>
    <t>H1N4F3</t>
    <phoneticPr fontId="2" type="noConversion"/>
  </si>
  <si>
    <t>Core1-TetraNeu5Ac</t>
    <phoneticPr fontId="2" type="noConversion"/>
  </si>
  <si>
    <t>H1N1S4</t>
    <phoneticPr fontId="2" type="noConversion"/>
  </si>
  <si>
    <t>T antigen</t>
    <phoneticPr fontId="2" type="noConversion"/>
  </si>
  <si>
    <t>H1N1</t>
    <phoneticPr fontId="2" type="noConversion"/>
  </si>
  <si>
    <t>PerMe</t>
    <phoneticPr fontId="2" type="noConversion"/>
  </si>
  <si>
    <t>This template should be implemented to GlycoMSP someday…</t>
    <phoneticPr fontId="2" type="noConversion"/>
  </si>
  <si>
    <t>Hex</t>
    <phoneticPr fontId="2" type="noConversion"/>
  </si>
  <si>
    <t>Original formula</t>
    <phoneticPr fontId="2" type="noConversion"/>
  </si>
  <si>
    <t>Mass</t>
    <phoneticPr fontId="2" type="noConversion"/>
  </si>
  <si>
    <t>C6H12O6</t>
    <phoneticPr fontId="2" type="noConversion"/>
  </si>
  <si>
    <t>C</t>
    <phoneticPr fontId="2" type="noConversion"/>
  </si>
  <si>
    <t>H</t>
    <phoneticPr fontId="2" type="noConversion"/>
  </si>
  <si>
    <t>O</t>
    <phoneticPr fontId="2" type="noConversion"/>
  </si>
  <si>
    <t>HexNAc (N-Acetyl)</t>
    <phoneticPr fontId="2" type="noConversion"/>
  </si>
  <si>
    <t>C8H15NO6</t>
    <phoneticPr fontId="2" type="noConversion"/>
  </si>
  <si>
    <t>N</t>
    <phoneticPr fontId="2" type="noConversion"/>
  </si>
  <si>
    <t xml:space="preserve">EDITING DO NOT USE </t>
    <phoneticPr fontId="2" type="noConversion"/>
  </si>
  <si>
    <t>VALIDATE THE MASS BEFORE APPLYING</t>
    <phoneticPr fontId="2" type="noConversion"/>
  </si>
  <si>
    <t>HexNAc-T</t>
    <phoneticPr fontId="2" type="noConversion"/>
  </si>
  <si>
    <t>N2</t>
    <phoneticPr fontId="2" type="noConversion"/>
  </si>
  <si>
    <t>KDN-T antigen</t>
    <phoneticPr fontId="2" type="noConversion"/>
  </si>
  <si>
    <t>Neu5Ac-T antigen</t>
    <phoneticPr fontId="2" type="noConversion"/>
  </si>
  <si>
    <t>Neu5Gc-T antigen</t>
    <phoneticPr fontId="2" type="noConversion"/>
  </si>
  <si>
    <t>Core1-Fuc</t>
    <phoneticPr fontId="2" type="noConversion"/>
  </si>
  <si>
    <t>H1N1F1</t>
    <phoneticPr fontId="2" type="noConversion"/>
  </si>
  <si>
    <t>H1N1S1F1</t>
    <phoneticPr fontId="2" type="noConversion"/>
  </si>
  <si>
    <t>H1N1G1F1</t>
    <phoneticPr fontId="2" type="noConversion"/>
  </si>
  <si>
    <t>H2N1S1</t>
    <phoneticPr fontId="2" type="noConversion"/>
  </si>
  <si>
    <t>H2N1G1</t>
    <phoneticPr fontId="2" type="noConversion"/>
  </si>
  <si>
    <t>H1N2G1</t>
    <phoneticPr fontId="2" type="noConversion"/>
  </si>
  <si>
    <t>H3N2</t>
    <phoneticPr fontId="2" type="noConversion"/>
  </si>
  <si>
    <t>H1N3F1</t>
    <phoneticPr fontId="2" type="noConversion"/>
  </si>
  <si>
    <t>H1N1KDN1F2</t>
    <phoneticPr fontId="2" type="noConversion"/>
  </si>
  <si>
    <t>????? Fuc on KDN? Possible?</t>
    <phoneticPr fontId="2" type="noConversion"/>
  </si>
  <si>
    <t>H2N3</t>
    <phoneticPr fontId="2" type="noConversion"/>
  </si>
  <si>
    <t>H2N1S1F1</t>
    <phoneticPr fontId="2" type="noConversion"/>
  </si>
  <si>
    <t>?</t>
    <phoneticPr fontId="2" type="noConversion"/>
  </si>
  <si>
    <t>Not a glycan in previous anno</t>
    <phoneticPr fontId="2" type="noConversion"/>
  </si>
  <si>
    <t>H2N4F2</t>
    <phoneticPr fontId="2" type="noConversion"/>
  </si>
  <si>
    <t>H3N2S2F1</t>
    <phoneticPr fontId="2" type="noConversion"/>
  </si>
  <si>
    <t>Notes</t>
    <phoneticPr fontId="2" type="noConversion"/>
  </si>
  <si>
    <t>Mind some annotation in summary sheet are NOT VALIDATED by other experts
(At least Dr. Khoo had said I was digging to much, those may not be glycans)</t>
    <phoneticPr fontId="2" type="noConversion"/>
  </si>
  <si>
    <t>Structure</t>
    <phoneticPr fontId="2" type="noConversion"/>
  </si>
  <si>
    <t>charge</t>
    <phoneticPr fontId="2" type="noConversion"/>
  </si>
  <si>
    <t>mass shift</t>
    <phoneticPr fontId="2" type="noConversion"/>
  </si>
  <si>
    <t>ion name</t>
    <phoneticPr fontId="2" type="noConversion"/>
  </si>
  <si>
    <t>ion type</t>
    <phoneticPr fontId="2" type="noConversion"/>
  </si>
  <si>
    <t>mass</t>
    <phoneticPr fontId="2" type="noConversion"/>
  </si>
  <si>
    <t>mainly shows in xx glycan?</t>
    <phoneticPr fontId="2" type="noConversion"/>
  </si>
  <si>
    <t>terminal Hex-32</t>
    <phoneticPr fontId="2" type="noConversion"/>
  </si>
  <si>
    <t>B</t>
    <phoneticPr fontId="2" type="noConversion"/>
  </si>
  <si>
    <t>notes</t>
    <phoneticPr fontId="2" type="noConversion"/>
  </si>
  <si>
    <t>from 219.1227</t>
    <phoneticPr fontId="2" type="noConversion"/>
  </si>
  <si>
    <t>Z</t>
    <phoneticPr fontId="2" type="noConversion"/>
  </si>
  <si>
    <t>REDend GalNAc</t>
    <phoneticPr fontId="2" type="noConversion"/>
  </si>
  <si>
    <t>O-GalNAc one branch</t>
    <phoneticPr fontId="2" type="noConversion"/>
  </si>
  <si>
    <t>Y</t>
    <phoneticPr fontId="2" type="noConversion"/>
  </si>
  <si>
    <t>brain</t>
    <phoneticPr fontId="2" type="noConversion"/>
  </si>
  <si>
    <t>intestine</t>
    <phoneticPr fontId="2" type="noConversion"/>
  </si>
  <si>
    <t>ovary</t>
    <phoneticPr fontId="2" type="noConversion"/>
  </si>
  <si>
    <t>N1S1</t>
    <phoneticPr fontId="2" type="noConversion"/>
  </si>
  <si>
    <t>294-32</t>
    <phoneticPr fontId="2" type="noConversion"/>
  </si>
  <si>
    <t>diff profile (integer for groups if different from same annotation)</t>
    <phoneticPr fontId="2" type="noConversion"/>
  </si>
  <si>
    <t>adduct</t>
    <phoneticPr fontId="2" type="noConversion"/>
  </si>
  <si>
    <t>280 core</t>
    <phoneticPr fontId="2" type="noConversion"/>
  </si>
  <si>
    <t>294 core</t>
    <phoneticPr fontId="2" type="noConversion"/>
  </si>
  <si>
    <t>1 Na but peaks too weak</t>
    <phoneticPr fontId="2" type="noConversion"/>
  </si>
  <si>
    <t>Unknown1</t>
    <phoneticPr fontId="2" type="noConversion"/>
  </si>
  <si>
    <t>Core+5Ac</t>
    <phoneticPr fontId="2" type="noConversion"/>
  </si>
  <si>
    <t>Core+5Gc</t>
    <phoneticPr fontId="2" type="noConversion"/>
  </si>
  <si>
    <t>O-GalNAc two branch</t>
    <phoneticPr fontId="2" type="noConversion"/>
  </si>
  <si>
    <t>YY</t>
    <phoneticPr fontId="2" type="noConversion"/>
  </si>
  <si>
    <t>YZ</t>
    <phoneticPr fontId="2" type="noConversion"/>
  </si>
  <si>
    <t>260-32</t>
    <phoneticPr fontId="2" type="noConversion"/>
  </si>
  <si>
    <t>terminal HexNAc</t>
    <phoneticPr fontId="2" type="noConversion"/>
  </si>
  <si>
    <t>Unknown2</t>
    <phoneticPr fontId="2" type="noConversion"/>
  </si>
  <si>
    <t>MS2 in NH4+ (17 + M[H+])</t>
    <phoneticPr fontId="2" type="noConversion"/>
  </si>
  <si>
    <t>NH4</t>
    <phoneticPr fontId="2" type="noConversion"/>
  </si>
  <si>
    <t>mixed with glycan 17 (hard to tell by man annotation)</t>
    <phoneticPr fontId="2" type="noConversion"/>
  </si>
  <si>
    <t>has 464</t>
    <phoneticPr fontId="2" type="noConversion"/>
  </si>
  <si>
    <t>H1N1G3</t>
    <phoneticPr fontId="2" type="noConversion"/>
  </si>
  <si>
    <t>H1N1S1G2</t>
    <phoneticPr fontId="2" type="noConversion"/>
  </si>
  <si>
    <t>H2N2S2</t>
    <phoneticPr fontId="2" type="noConversion"/>
  </si>
  <si>
    <t>Core 2? same mass as H1N2S1G1F1</t>
    <phoneticPr fontId="2" type="noConversion"/>
  </si>
  <si>
    <t>1 too weak</t>
    <phoneticPr fontId="2" type="noConversion"/>
  </si>
  <si>
    <t>Confusing, not sure (if yes, about 7 spectra)</t>
    <phoneticPr fontId="2" type="noConversion"/>
  </si>
  <si>
    <t>YY of core 1</t>
    <phoneticPr fontId="2" type="noConversion"/>
  </si>
  <si>
    <t>Core2 Y ions (2HexNAc)</t>
    <phoneticPr fontId="2" type="noConversion"/>
  </si>
  <si>
    <t>Core2 Y ions (GalNAc-GlcNAc-Gal)</t>
    <phoneticPr fontId="2" type="noConversion"/>
  </si>
  <si>
    <t>Core2 YY ions</t>
    <phoneticPr fontId="2" type="noConversion"/>
  </si>
  <si>
    <t>Evidence?</t>
    <phoneticPr fontId="2" type="noConversion"/>
  </si>
  <si>
    <t>Correct -MeOH mass list is in FilterMS2_2023.py</t>
    <phoneticPr fontId="2" type="noConversion"/>
  </si>
  <si>
    <t>376-32</t>
    <phoneticPr fontId="2" type="noConversion"/>
  </si>
  <si>
    <t>terminal Neu5Ac eliminated</t>
    <phoneticPr fontId="2" type="noConversion"/>
  </si>
  <si>
    <t>terminal Neu5Ac</t>
    <phoneticPr fontId="2" type="noConversion"/>
  </si>
  <si>
    <t>260-14</t>
    <phoneticPr fontId="2" type="noConversion"/>
  </si>
  <si>
    <t>https://www.sisweb.com/mstools/isotope.htm</t>
    <phoneticPr fontId="2" type="noConversion"/>
  </si>
  <si>
    <t>entered CH3OH -&gt; get 32.0262</t>
    <phoneticPr fontId="2" type="noConversion"/>
  </si>
  <si>
    <t>B ion of Fuc-HexNAc (zf specific)</t>
    <phoneticPr fontId="2" type="noConversion"/>
  </si>
  <si>
    <t>BY</t>
    <phoneticPr fontId="2" type="noConversion"/>
  </si>
  <si>
    <t>BY ion of Fuc-HexNAc (zf specific)</t>
    <phoneticPr fontId="2" type="noConversion"/>
  </si>
  <si>
    <t>OG core with KDN at 6-arm</t>
    <phoneticPr fontId="2" type="noConversion"/>
  </si>
  <si>
    <t>KDN-Gal</t>
    <phoneticPr fontId="2" type="noConversion"/>
  </si>
  <si>
    <t>Neu5Ac-Gal</t>
    <phoneticPr fontId="2" type="noConversion"/>
  </si>
  <si>
    <t>Neu5Gc-Gal</t>
    <phoneticPr fontId="2" type="noConversion"/>
  </si>
  <si>
    <t>MS2scan_no</t>
    <phoneticPr fontId="2" type="noConversion"/>
  </si>
  <si>
    <t>IUPACname(optional)</t>
    <phoneticPr fontId="2" type="noConversion"/>
  </si>
  <si>
    <t>Glycanannotation2</t>
    <phoneticPr fontId="2" type="noConversion"/>
  </si>
  <si>
    <t>terminal Hex</t>
    <phoneticPr fontId="2" type="noConversion"/>
  </si>
  <si>
    <t>Fuc1HexNAc1</t>
    <phoneticPr fontId="2" type="noConversion"/>
  </si>
  <si>
    <t>BY;CZ</t>
    <phoneticPr fontId="2" type="noConversion"/>
  </si>
  <si>
    <t>LacNAc</t>
    <phoneticPr fontId="2" type="noConversion"/>
  </si>
  <si>
    <t>LeX/LeA</t>
    <phoneticPr fontId="2" type="noConversion"/>
  </si>
  <si>
    <t>Neu5Ac2</t>
    <phoneticPr fontId="2" type="noConversion"/>
  </si>
  <si>
    <t>Neu5AcNeu5Gc</t>
    <phoneticPr fontId="2" type="noConversion"/>
  </si>
  <si>
    <t>Neu5Gc2</t>
    <phoneticPr fontId="2" type="noConversion"/>
  </si>
  <si>
    <t>SiaLacNAc</t>
    <phoneticPr fontId="2" type="noConversion"/>
  </si>
  <si>
    <t>Hex2HexNAc1dHex1</t>
    <phoneticPr fontId="2" type="noConversion"/>
  </si>
  <si>
    <t>sLeX/A</t>
    <phoneticPr fontId="2" type="noConversion"/>
  </si>
  <si>
    <t>464-32</t>
    <phoneticPr fontId="2" type="noConversion"/>
  </si>
  <si>
    <t>SiaGcLacNAc</t>
    <phoneticPr fontId="2" type="noConversion"/>
  </si>
  <si>
    <t>KDN2</t>
    <phoneticPr fontId="2" type="noConversion"/>
  </si>
  <si>
    <t>FucLacDiNAc</t>
    <phoneticPr fontId="2" type="noConversion"/>
  </si>
  <si>
    <t>LAcDiNAc</t>
    <phoneticPr fontId="2" type="noConversion"/>
  </si>
  <si>
    <t>Hex1HexNAc1Fuc1NeuAc1</t>
    <phoneticPr fontId="2" type="noConversion"/>
  </si>
  <si>
    <t>Hex1HexNAc1Fuc1NeuAc1 ; Hex2HexNAc1NeuAc1</t>
    <phoneticPr fontId="2" type="noConversion"/>
  </si>
  <si>
    <t>Hex2HexNAc1</t>
    <phoneticPr fontId="2" type="noConversion"/>
  </si>
  <si>
    <t>Evidence? Not in human sample</t>
    <phoneticPr fontId="2" type="noConversion"/>
  </si>
  <si>
    <t>HexNAc1_freeend</t>
  </si>
  <si>
    <t>HexNAc1_redend</t>
  </si>
  <si>
    <t>Hex1HexNAc1_freeend</t>
    <phoneticPr fontId="2" type="noConversion"/>
  </si>
  <si>
    <t>HexNAc2</t>
    <phoneticPr fontId="2" type="noConversion"/>
  </si>
  <si>
    <t>Hex1HexNAc1dHex1</t>
    <phoneticPr fontId="2" type="noConversion"/>
  </si>
  <si>
    <t>Minor, O-Man like (HexNAc termianl)</t>
    <phoneticPr fontId="2" type="noConversion"/>
  </si>
  <si>
    <t>Minor, may be peak 2</t>
    <phoneticPr fontId="2" type="noConversion"/>
  </si>
  <si>
    <t>no Na MS2 (has peak)</t>
    <phoneticPr fontId="2" type="noConversion"/>
  </si>
  <si>
    <t>N1KDN1</t>
    <phoneticPr fontId="2" type="noConversion"/>
  </si>
  <si>
    <t>O-Man</t>
    <phoneticPr fontId="2" type="noConversion"/>
  </si>
  <si>
    <t>~same mass as H1N1F1</t>
    <phoneticPr fontId="2" type="noConversion"/>
  </si>
  <si>
    <t>N1G1</t>
    <phoneticPr fontId="2" type="noConversion"/>
  </si>
  <si>
    <t>mixture? +30Da of N1S1?</t>
    <phoneticPr fontId="2" type="noConversion"/>
  </si>
  <si>
    <t>N2KDN1</t>
    <phoneticPr fontId="2" type="noConversion"/>
  </si>
  <si>
    <t>Core2-KDN</t>
    <phoneticPr fontId="2" type="noConversion"/>
  </si>
  <si>
    <t>Na but peaks too weak</t>
  </si>
  <si>
    <t>has 434 638</t>
    <phoneticPr fontId="2" type="noConversion"/>
  </si>
  <si>
    <t>Ac Gc mix</t>
    <phoneticPr fontId="2" type="noConversion"/>
  </si>
  <si>
    <t>Unknown3</t>
    <phoneticPr fontId="2" type="noConversion"/>
  </si>
  <si>
    <t>Unknown4</t>
    <phoneticPr fontId="2" type="noConversion"/>
  </si>
  <si>
    <t>Unknown5</t>
    <phoneticPr fontId="2" type="noConversion"/>
  </si>
  <si>
    <t>low 638</t>
    <phoneticPr fontId="2" type="noConversion"/>
  </si>
  <si>
    <t>high 638</t>
    <phoneticPr fontId="2" type="noConversion"/>
  </si>
  <si>
    <t>separated peaks</t>
    <phoneticPr fontId="2" type="noConversion"/>
  </si>
  <si>
    <t>294, high 668</t>
    <phoneticPr fontId="2" type="noConversion"/>
  </si>
  <si>
    <t>not OG</t>
    <phoneticPr fontId="2" type="noConversion"/>
  </si>
  <si>
    <t>unsolved, maybe O-Man with NeuAc on Man core</t>
    <phoneticPr fontId="2" type="noConversion"/>
  </si>
  <si>
    <t>H1N2KDN1</t>
    <phoneticPr fontId="2" type="noConversion"/>
  </si>
  <si>
    <t>prob core2, has high 260</t>
    <phoneticPr fontId="2" type="noConversion"/>
  </si>
  <si>
    <t>peak1</t>
    <phoneticPr fontId="2" type="noConversion"/>
  </si>
  <si>
    <t>peak2</t>
    <phoneticPr fontId="2" type="noConversion"/>
  </si>
  <si>
    <t>unsolved, high 636</t>
    <phoneticPr fontId="2" type="noConversion"/>
  </si>
  <si>
    <t>not OG?</t>
    <phoneticPr fontId="2" type="noConversion"/>
  </si>
  <si>
    <t>core 2, 280</t>
    <phoneticPr fontId="2" type="noConversion"/>
  </si>
  <si>
    <t>core 1, 280</t>
    <phoneticPr fontId="2" type="noConversion"/>
  </si>
  <si>
    <t>core 1, 280, 260</t>
    <phoneticPr fontId="2" type="noConversion"/>
  </si>
  <si>
    <t>core 2, 294, 784</t>
    <phoneticPr fontId="2" type="noConversion"/>
  </si>
  <si>
    <t>core 1? 784= KDN-HexNAc-Hex?</t>
    <phoneticPr fontId="2" type="noConversion"/>
  </si>
  <si>
    <t>peak3</t>
    <phoneticPr fontId="2" type="noConversion"/>
  </si>
  <si>
    <t>prob core1</t>
    <phoneticPr fontId="2" type="noConversion"/>
  </si>
  <si>
    <t>peak4</t>
    <phoneticPr fontId="2" type="noConversion"/>
  </si>
  <si>
    <t>peak5</t>
    <phoneticPr fontId="2" type="noConversion"/>
  </si>
  <si>
    <t>peak6</t>
    <phoneticPr fontId="2" type="noConversion"/>
  </si>
  <si>
    <t>unsolved, maybe O-Man</t>
    <phoneticPr fontId="2" type="noConversion"/>
  </si>
  <si>
    <t>prob core2, KDN-HexNAc-Hex?</t>
    <phoneticPr fontId="2" type="noConversion"/>
  </si>
  <si>
    <t>prob core1, KDN-HexNAc-Hex?</t>
    <phoneticPr fontId="2" type="noConversion"/>
  </si>
  <si>
    <t>Unknown6</t>
    <phoneticPr fontId="2" type="noConversion"/>
  </si>
  <si>
    <t>not H2N1G1</t>
    <phoneticPr fontId="2" type="noConversion"/>
  </si>
  <si>
    <t>lots of unsolved patterns</t>
    <phoneticPr fontId="2" type="noConversion"/>
  </si>
  <si>
    <t>2 peaks, minor diff</t>
    <phoneticPr fontId="2" type="noConversion"/>
  </si>
  <si>
    <t>743, O-Man?</t>
    <phoneticPr fontId="2" type="noConversion"/>
  </si>
  <si>
    <t>Unknown7</t>
    <phoneticPr fontId="2" type="noConversion"/>
  </si>
  <si>
    <t>H2N2F1</t>
    <phoneticPr fontId="2" type="noConversion"/>
  </si>
  <si>
    <t>core 2</t>
    <phoneticPr fontId="2" type="noConversion"/>
  </si>
  <si>
    <t>core 2 added in Intestine (need check brain)</t>
    <phoneticPr fontId="2" type="noConversion"/>
  </si>
  <si>
    <t>NH3</t>
    <phoneticPr fontId="2" type="noConversion"/>
  </si>
  <si>
    <t>498, diKDN</t>
    <phoneticPr fontId="2" type="noConversion"/>
  </si>
  <si>
    <t>very weak</t>
    <phoneticPr fontId="2" type="noConversion"/>
  </si>
  <si>
    <t>one weak spectrum</t>
    <phoneticPr fontId="2" type="noConversion"/>
  </si>
  <si>
    <t>core 2, has alpha-gal?</t>
    <phoneticPr fontId="2" type="noConversion"/>
  </si>
  <si>
    <t>core 1? 679 is FucLDNC</t>
    <phoneticPr fontId="2" type="noConversion"/>
  </si>
  <si>
    <t>high 260</t>
    <phoneticPr fontId="2" type="noConversion"/>
  </si>
  <si>
    <t>high 260 no 539</t>
    <phoneticPr fontId="2" type="noConversion"/>
  </si>
  <si>
    <t>high 260 has 539</t>
    <phoneticPr fontId="2" type="noConversion"/>
  </si>
  <si>
    <t>no 580 exactly</t>
    <phoneticPr fontId="2" type="noConversion"/>
  </si>
  <si>
    <t>has 709 (Hex1HexNAc2)</t>
    <phoneticPr fontId="2" type="noConversion"/>
  </si>
  <si>
    <t>Unknown8</t>
    <phoneticPr fontId="2" type="noConversion"/>
  </si>
  <si>
    <t>high 709, 280, 498, core 2?</t>
    <phoneticPr fontId="2" type="noConversion"/>
  </si>
  <si>
    <t>2H</t>
    <phoneticPr fontId="2" type="noConversion"/>
  </si>
  <si>
    <t>high 260, 450, 709</t>
    <phoneticPr fontId="2" type="noConversion"/>
  </si>
  <si>
    <t>high 464, 709</t>
    <phoneticPr fontId="2" type="noConversion"/>
  </si>
  <si>
    <t>low s/n?</t>
    <phoneticPr fontId="2" type="noConversion"/>
  </si>
  <si>
    <t>H1N2KDN1F1</t>
    <phoneticPr fontId="2" type="noConversion"/>
  </si>
  <si>
    <t>O-Man?</t>
    <phoneticPr fontId="2" type="noConversion"/>
  </si>
  <si>
    <t>Core1 KDN6arm + FNAc (3 arm)</t>
    <phoneticPr fontId="2" type="noConversion"/>
  </si>
  <si>
    <t>280, 303, 434, 614, 729, 917</t>
    <phoneticPr fontId="2" type="noConversion"/>
  </si>
  <si>
    <t>weak 737</t>
    <phoneticPr fontId="2" type="noConversion"/>
  </si>
  <si>
    <t>contaminate?</t>
    <phoneticPr fontId="2" type="noConversion"/>
  </si>
  <si>
    <t>4 strange structure in 2H (counted)</t>
    <phoneticPr fontId="2" type="noConversion"/>
  </si>
  <si>
    <t>move notes if haven't validate it</t>
    <phoneticPr fontId="2" type="noConversion"/>
  </si>
  <si>
    <t>may be 1234+17 (NH4+)</t>
    <phoneticPr fontId="2" type="noConversion"/>
  </si>
  <si>
    <t>Unknown9</t>
    <phoneticPr fontId="2" type="noConversion"/>
  </si>
  <si>
    <t>580, 610</t>
    <phoneticPr fontId="2" type="noConversion"/>
  </si>
  <si>
    <t>Unknown10</t>
    <phoneticPr fontId="2" type="noConversion"/>
  </si>
  <si>
    <t>303?</t>
    <phoneticPr fontId="2" type="noConversion"/>
  </si>
  <si>
    <t>weak</t>
    <phoneticPr fontId="2" type="noConversion"/>
  </si>
  <si>
    <t>Unknown11</t>
    <phoneticPr fontId="2" type="noConversion"/>
  </si>
  <si>
    <t>Unknown12</t>
    <phoneticPr fontId="2" type="noConversion"/>
  </si>
  <si>
    <t>has unknown peaks (434)</t>
    <phoneticPr fontId="2" type="noConversion"/>
  </si>
  <si>
    <t>mix</t>
    <phoneticPr fontId="2" type="noConversion"/>
  </si>
  <si>
    <t>Core2-Gal-Neu5Ac (Ac on 6arm</t>
    <phoneticPr fontId="2" type="noConversion"/>
  </si>
  <si>
    <t>high 825</t>
    <phoneticPr fontId="2" type="noConversion"/>
  </si>
  <si>
    <t>unsolved, not recorded in glycan list</t>
    <phoneticPr fontId="2" type="noConversion"/>
  </si>
  <si>
    <t>294 (core1)</t>
    <phoneticPr fontId="2" type="noConversion"/>
  </si>
  <si>
    <t>280, OG25</t>
    <phoneticPr fontId="2" type="noConversion"/>
  </si>
  <si>
    <t>294, OG26</t>
    <phoneticPr fontId="2" type="noConversion"/>
  </si>
  <si>
    <t>294, 498 -&gt; Gc at end (linear)</t>
    <phoneticPr fontId="2" type="noConversion"/>
  </si>
  <si>
    <t>2 OG25, 1 OG26, 1 others</t>
    <phoneticPr fontId="2" type="noConversion"/>
  </si>
  <si>
    <t>mixed with OG28</t>
    <phoneticPr fontId="2" type="noConversion"/>
  </si>
  <si>
    <t>mixed with H1N4F2</t>
    <phoneticPr fontId="2" type="noConversion"/>
  </si>
  <si>
    <t>OG30</t>
    <phoneticPr fontId="2" type="noConversion"/>
  </si>
  <si>
    <t>OG30?</t>
    <phoneticPr fontId="2" type="noConversion"/>
  </si>
  <si>
    <t>peak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</si>
</sst>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sz val="12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3" fillId="0" borderId="0" xfId="1">
      <alignment vertical="center"/>
    </xf>
    <xf numFmtId="11" fontId="0" fillId="0" borderId="0" xfId="0" applyNumberFormat="1">
      <alignment vertical="center"/>
    </xf>
    <xf numFmtId="0" fontId="4" fillId="0" borderId="0" xfId="0" applyFont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isweb.com/mstools/isotope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F71EC-E688-4FB5-A472-C08A93821269}">
  <dimension ref="A1:S70"/>
  <sheetViews>
    <sheetView workbookViewId="0">
      <pane ySplit="1" topLeftCell="A44" activePane="bottomLeft" state="frozen"/>
      <selection pane="bottomLeft" activeCell="K69" sqref="K69"/>
    </sheetView>
  </sheetViews>
  <sheetFormatPr defaultColWidth="8.75" defaultRowHeight="16.5" x14ac:dyDescent="0.25"/>
  <cols>
    <col min="1" max="1" width="16.25" customWidth="1"/>
    <col min="2" max="2" width="24.125" customWidth="1"/>
    <col min="3" max="3" width="12.375" customWidth="1"/>
    <col min="4" max="4" width="11.75" customWidth="1"/>
    <col min="5" max="5" width="10.375" customWidth="1"/>
    <col min="9" max="9" width="13.125" customWidth="1"/>
    <col min="10" max="10" width="12.375" customWidth="1"/>
    <col min="15" max="15" width="15.1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148</v>
      </c>
      <c r="O1" t="s">
        <v>13</v>
      </c>
      <c r="P1" t="s">
        <v>14</v>
      </c>
      <c r="S1" t="s">
        <v>279</v>
      </c>
    </row>
    <row r="2" spans="1:19" x14ac:dyDescent="0.25">
      <c r="B2" t="s">
        <v>74</v>
      </c>
      <c r="C2" t="s">
        <v>75</v>
      </c>
      <c r="D2">
        <f t="shared" ref="D2:D44" si="0">E2+21.9819</f>
        <v>534.28840000000002</v>
      </c>
      <c r="E2">
        <v>512.30650000000003</v>
      </c>
      <c r="F2">
        <f t="shared" ref="F2:F44" si="1">(E2+1.0073)/2</f>
        <v>256.65690000000001</v>
      </c>
      <c r="G2">
        <f t="shared" ref="G2:G44" si="2">(E2+1.0073*2)/3</f>
        <v>171.44036666666668</v>
      </c>
      <c r="H2">
        <f t="shared" ref="H2:H44" si="3">(E2+1.0073*3)/4</f>
        <v>128.8321</v>
      </c>
      <c r="I2">
        <v>0</v>
      </c>
      <c r="J2">
        <v>11</v>
      </c>
      <c r="P2" t="s">
        <v>207</v>
      </c>
    </row>
    <row r="3" spans="1:19" x14ac:dyDescent="0.25">
      <c r="B3" t="s">
        <v>90</v>
      </c>
      <c r="C3" t="s">
        <v>91</v>
      </c>
      <c r="D3">
        <f t="shared" si="0"/>
        <v>575.31499999999994</v>
      </c>
      <c r="E3">
        <v>553.33309999999994</v>
      </c>
      <c r="F3">
        <f t="shared" si="1"/>
        <v>277.17019999999997</v>
      </c>
      <c r="G3">
        <f t="shared" si="2"/>
        <v>185.11589999999998</v>
      </c>
      <c r="H3">
        <f t="shared" si="3"/>
        <v>139.08874999999998</v>
      </c>
      <c r="I3">
        <v>0</v>
      </c>
      <c r="J3">
        <v>4</v>
      </c>
      <c r="P3" t="s">
        <v>207</v>
      </c>
    </row>
    <row r="4" spans="1:19" x14ac:dyDescent="0.25">
      <c r="B4" t="s">
        <v>92</v>
      </c>
      <c r="D4">
        <f t="shared" si="0"/>
        <v>650.33579999999995</v>
      </c>
      <c r="E4">
        <v>628.35389999999995</v>
      </c>
      <c r="F4">
        <f t="shared" si="1"/>
        <v>314.68059999999997</v>
      </c>
      <c r="G4">
        <f t="shared" si="2"/>
        <v>210.12283333333332</v>
      </c>
      <c r="H4">
        <f t="shared" si="3"/>
        <v>157.84394999999998</v>
      </c>
      <c r="I4">
        <v>0</v>
      </c>
      <c r="J4">
        <v>4</v>
      </c>
      <c r="P4" t="s">
        <v>207</v>
      </c>
    </row>
    <row r="5" spans="1:19" x14ac:dyDescent="0.25">
      <c r="B5" t="s">
        <v>93</v>
      </c>
      <c r="D5">
        <f t="shared" si="0"/>
        <v>691.3623</v>
      </c>
      <c r="E5">
        <v>669.38040000000001</v>
      </c>
      <c r="F5">
        <f t="shared" si="1"/>
        <v>335.19385</v>
      </c>
      <c r="G5">
        <f t="shared" si="2"/>
        <v>223.79833333333332</v>
      </c>
      <c r="H5">
        <f t="shared" si="3"/>
        <v>168.10057499999999</v>
      </c>
      <c r="I5">
        <v>0</v>
      </c>
      <c r="J5">
        <v>3</v>
      </c>
      <c r="N5">
        <v>3</v>
      </c>
      <c r="P5" t="s">
        <v>207</v>
      </c>
    </row>
    <row r="6" spans="1:19" x14ac:dyDescent="0.25">
      <c r="B6" t="s">
        <v>95</v>
      </c>
      <c r="C6" t="s">
        <v>96</v>
      </c>
      <c r="D6">
        <f t="shared" si="0"/>
        <v>708.37760000000003</v>
      </c>
      <c r="E6">
        <v>686.39570000000003</v>
      </c>
      <c r="F6">
        <f t="shared" si="1"/>
        <v>343.70150000000001</v>
      </c>
      <c r="G6">
        <f t="shared" si="2"/>
        <v>229.4701</v>
      </c>
      <c r="H6">
        <f t="shared" si="3"/>
        <v>172.3544</v>
      </c>
      <c r="I6">
        <v>0</v>
      </c>
      <c r="J6">
        <v>2</v>
      </c>
    </row>
    <row r="7" spans="1:19" x14ac:dyDescent="0.25">
      <c r="B7" t="s">
        <v>94</v>
      </c>
      <c r="D7">
        <f t="shared" si="0"/>
        <v>721.37289999999996</v>
      </c>
      <c r="E7">
        <v>699.39099999999996</v>
      </c>
      <c r="F7">
        <f t="shared" si="1"/>
        <v>350.19914999999997</v>
      </c>
      <c r="G7">
        <f t="shared" si="2"/>
        <v>233.80186666666665</v>
      </c>
      <c r="H7">
        <f t="shared" si="3"/>
        <v>175.60322499999998</v>
      </c>
      <c r="I7">
        <v>0</v>
      </c>
      <c r="J7">
        <v>2</v>
      </c>
    </row>
    <row r="8" spans="1:19" x14ac:dyDescent="0.25">
      <c r="B8" t="s">
        <v>23</v>
      </c>
      <c r="C8" t="s">
        <v>22</v>
      </c>
      <c r="D8">
        <f t="shared" ref="D8" si="4">E8+21.9819</f>
        <v>854.43560000000002</v>
      </c>
      <c r="E8">
        <v>832.45370000000003</v>
      </c>
      <c r="F8">
        <f t="shared" ref="F8" si="5">(E8+1.0073)/2</f>
        <v>416.73050000000001</v>
      </c>
      <c r="G8">
        <f t="shared" ref="G8" si="6">(E8+1.0073*2)/3</f>
        <v>278.15609999999998</v>
      </c>
      <c r="H8">
        <f t="shared" ref="H8" si="7">(E8+1.0073*3)/4</f>
        <v>208.8689</v>
      </c>
      <c r="I8">
        <v>0</v>
      </c>
      <c r="J8">
        <v>3</v>
      </c>
      <c r="P8" t="s">
        <v>137</v>
      </c>
    </row>
    <row r="9" spans="1:19" x14ac:dyDescent="0.25">
      <c r="A9">
        <v>1</v>
      </c>
      <c r="B9" t="s">
        <v>23</v>
      </c>
      <c r="C9" t="s">
        <v>22</v>
      </c>
      <c r="D9">
        <f t="shared" si="0"/>
        <v>854.43560000000002</v>
      </c>
      <c r="E9">
        <v>832.45370000000003</v>
      </c>
      <c r="F9">
        <f t="shared" si="1"/>
        <v>416.73050000000001</v>
      </c>
      <c r="G9">
        <f t="shared" si="2"/>
        <v>278.15609999999998</v>
      </c>
      <c r="H9">
        <f t="shared" si="3"/>
        <v>208.8689</v>
      </c>
      <c r="I9">
        <v>0</v>
      </c>
      <c r="J9">
        <v>8</v>
      </c>
      <c r="P9" t="s">
        <v>136</v>
      </c>
      <c r="Q9" t="s">
        <v>138</v>
      </c>
    </row>
    <row r="10" spans="1:19" x14ac:dyDescent="0.25">
      <c r="A10">
        <v>2</v>
      </c>
      <c r="B10" t="s">
        <v>24</v>
      </c>
      <c r="C10" t="s">
        <v>25</v>
      </c>
      <c r="D10">
        <f t="shared" si="0"/>
        <v>895.46209999999996</v>
      </c>
      <c r="E10">
        <v>873.48019999999997</v>
      </c>
      <c r="F10">
        <f t="shared" si="1"/>
        <v>437.24374999999998</v>
      </c>
      <c r="G10">
        <f t="shared" si="2"/>
        <v>291.83159999999998</v>
      </c>
      <c r="H10">
        <f t="shared" si="3"/>
        <v>219.12552499999998</v>
      </c>
      <c r="I10">
        <v>0</v>
      </c>
      <c r="J10">
        <v>7</v>
      </c>
      <c r="P10" t="s">
        <v>136</v>
      </c>
      <c r="Q10" t="s">
        <v>215</v>
      </c>
    </row>
    <row r="11" spans="1:19" x14ac:dyDescent="0.25">
      <c r="A11">
        <v>3</v>
      </c>
      <c r="B11" t="s">
        <v>24</v>
      </c>
      <c r="C11" t="s">
        <v>25</v>
      </c>
      <c r="D11">
        <f t="shared" si="0"/>
        <v>895.46209999999996</v>
      </c>
      <c r="E11">
        <v>873.48019999999997</v>
      </c>
      <c r="F11">
        <f t="shared" si="1"/>
        <v>437.24374999999998</v>
      </c>
      <c r="G11">
        <f t="shared" si="2"/>
        <v>291.83159999999998</v>
      </c>
      <c r="H11">
        <f t="shared" si="3"/>
        <v>219.12552499999998</v>
      </c>
      <c r="I11">
        <v>0</v>
      </c>
      <c r="J11">
        <v>4</v>
      </c>
      <c r="P11" t="s">
        <v>137</v>
      </c>
      <c r="Q11" t="s">
        <v>215</v>
      </c>
    </row>
    <row r="12" spans="1:19" x14ac:dyDescent="0.25">
      <c r="B12" t="s">
        <v>214</v>
      </c>
      <c r="C12" t="s">
        <v>213</v>
      </c>
      <c r="D12">
        <f t="shared" ref="D12" si="8">E12+21.9819</f>
        <v>895.46209999999996</v>
      </c>
      <c r="E12">
        <v>873.48019999999997</v>
      </c>
      <c r="F12">
        <f t="shared" ref="F12" si="9">(E12+1.0073)/2</f>
        <v>437.24374999999998</v>
      </c>
      <c r="G12">
        <f t="shared" ref="G12" si="10">(E12+1.0073*2)/3</f>
        <v>291.83159999999998</v>
      </c>
      <c r="H12">
        <f t="shared" ref="H12" si="11">(E12+1.0073*3)/4</f>
        <v>219.12552499999998</v>
      </c>
      <c r="I12">
        <v>0</v>
      </c>
      <c r="J12">
        <v>9</v>
      </c>
      <c r="P12" t="s">
        <v>136</v>
      </c>
      <c r="Q12" t="s">
        <v>215</v>
      </c>
    </row>
    <row r="13" spans="1:19" x14ac:dyDescent="0.25">
      <c r="A13">
        <v>4</v>
      </c>
      <c r="B13" t="s">
        <v>27</v>
      </c>
      <c r="C13" t="s">
        <v>26</v>
      </c>
      <c r="D13">
        <f t="shared" si="0"/>
        <v>925.47270000000003</v>
      </c>
      <c r="E13">
        <v>903.49080000000004</v>
      </c>
      <c r="F13">
        <f t="shared" si="1"/>
        <v>452.24905000000001</v>
      </c>
      <c r="G13">
        <f t="shared" si="2"/>
        <v>301.83513333333332</v>
      </c>
      <c r="H13">
        <f t="shared" si="3"/>
        <v>226.628175</v>
      </c>
      <c r="I13">
        <v>0</v>
      </c>
      <c r="J13">
        <v>3</v>
      </c>
      <c r="P13" t="s">
        <v>136</v>
      </c>
    </row>
    <row r="14" spans="1:19" x14ac:dyDescent="0.25">
      <c r="A14">
        <v>5</v>
      </c>
      <c r="B14" t="s">
        <v>27</v>
      </c>
      <c r="C14" t="s">
        <v>26</v>
      </c>
      <c r="D14">
        <f t="shared" si="0"/>
        <v>925.47270000000003</v>
      </c>
      <c r="E14">
        <v>903.49080000000004</v>
      </c>
      <c r="F14">
        <f t="shared" si="1"/>
        <v>452.24905000000001</v>
      </c>
      <c r="G14">
        <f t="shared" si="2"/>
        <v>301.83513333333332</v>
      </c>
      <c r="H14">
        <f t="shared" si="3"/>
        <v>226.628175</v>
      </c>
      <c r="I14">
        <v>0</v>
      </c>
      <c r="J14">
        <v>2</v>
      </c>
      <c r="P14" t="s">
        <v>137</v>
      </c>
    </row>
    <row r="15" spans="1:19" x14ac:dyDescent="0.25">
      <c r="A15">
        <v>6</v>
      </c>
      <c r="B15" t="s">
        <v>28</v>
      </c>
      <c r="C15" t="s">
        <v>29</v>
      </c>
      <c r="D15">
        <f t="shared" si="0"/>
        <v>936.48869999999999</v>
      </c>
      <c r="E15">
        <v>914.5068</v>
      </c>
      <c r="F15">
        <f t="shared" si="1"/>
        <v>457.75704999999999</v>
      </c>
      <c r="G15">
        <f t="shared" si="2"/>
        <v>305.50713333333334</v>
      </c>
      <c r="H15">
        <f t="shared" si="3"/>
        <v>229.38217499999999</v>
      </c>
      <c r="I15">
        <v>0</v>
      </c>
      <c r="J15">
        <v>5</v>
      </c>
      <c r="P15" t="s">
        <v>136</v>
      </c>
      <c r="Q15" t="s">
        <v>215</v>
      </c>
    </row>
    <row r="16" spans="1:19" x14ac:dyDescent="0.25">
      <c r="A16">
        <v>7</v>
      </c>
      <c r="B16" t="s">
        <v>34</v>
      </c>
      <c r="C16" t="s">
        <v>30</v>
      </c>
      <c r="D16">
        <f t="shared" si="0"/>
        <v>953.50400000000002</v>
      </c>
      <c r="E16">
        <v>931.52210000000002</v>
      </c>
      <c r="F16">
        <f t="shared" si="1"/>
        <v>466.2647</v>
      </c>
      <c r="G16">
        <f t="shared" si="2"/>
        <v>311.1789</v>
      </c>
      <c r="H16">
        <f t="shared" si="3"/>
        <v>233.636</v>
      </c>
      <c r="I16">
        <v>0</v>
      </c>
      <c r="J16">
        <v>10</v>
      </c>
      <c r="P16" t="s">
        <v>223</v>
      </c>
    </row>
    <row r="17" spans="1:17" x14ac:dyDescent="0.25">
      <c r="B17" t="s">
        <v>32</v>
      </c>
      <c r="C17" t="s">
        <v>31</v>
      </c>
      <c r="D17">
        <f t="shared" ref="D17" si="12">E17+21.9819</f>
        <v>983.5145</v>
      </c>
      <c r="E17">
        <v>961.5326</v>
      </c>
      <c r="F17">
        <f t="shared" ref="F17" si="13">(E17+1.0073)/2</f>
        <v>481.26994999999999</v>
      </c>
      <c r="G17">
        <f t="shared" ref="G17" si="14">(E17+1.0073*2)/3</f>
        <v>321.18239999999997</v>
      </c>
      <c r="H17">
        <f t="shared" ref="H17" si="15">(E17+1.0073*3)/4</f>
        <v>241.13862499999999</v>
      </c>
      <c r="I17">
        <v>0</v>
      </c>
      <c r="J17">
        <v>4</v>
      </c>
      <c r="P17" t="s">
        <v>136</v>
      </c>
      <c r="Q17" t="s">
        <v>215</v>
      </c>
    </row>
    <row r="18" spans="1:17" x14ac:dyDescent="0.25">
      <c r="A18">
        <v>8</v>
      </c>
      <c r="B18" t="s">
        <v>32</v>
      </c>
      <c r="C18" t="s">
        <v>31</v>
      </c>
      <c r="D18">
        <f t="shared" si="0"/>
        <v>983.5145</v>
      </c>
      <c r="E18">
        <v>961.5326</v>
      </c>
      <c r="F18">
        <f t="shared" si="1"/>
        <v>481.26994999999999</v>
      </c>
      <c r="G18">
        <f t="shared" si="2"/>
        <v>321.18239999999997</v>
      </c>
      <c r="H18">
        <f t="shared" si="3"/>
        <v>241.13862499999999</v>
      </c>
      <c r="I18">
        <v>0</v>
      </c>
      <c r="J18">
        <v>5</v>
      </c>
      <c r="P18" t="s">
        <v>137</v>
      </c>
      <c r="Q18" t="s">
        <v>215</v>
      </c>
    </row>
    <row r="19" spans="1:17" x14ac:dyDescent="0.25">
      <c r="C19" t="s">
        <v>97</v>
      </c>
      <c r="D19">
        <f t="shared" si="0"/>
        <v>1069.5513000000001</v>
      </c>
      <c r="E19">
        <v>1047.5694000000001</v>
      </c>
      <c r="F19">
        <f t="shared" si="1"/>
        <v>524.28835000000004</v>
      </c>
      <c r="G19">
        <f t="shared" si="2"/>
        <v>349.86133333333333</v>
      </c>
      <c r="H19">
        <f t="shared" si="3"/>
        <v>262.64782500000001</v>
      </c>
      <c r="I19">
        <v>0</v>
      </c>
      <c r="J19">
        <v>2</v>
      </c>
      <c r="P19" s="2" t="s">
        <v>226</v>
      </c>
    </row>
    <row r="20" spans="1:17" x14ac:dyDescent="0.25">
      <c r="C20" t="s">
        <v>227</v>
      </c>
      <c r="D20">
        <f t="shared" si="0"/>
        <v>1099.5618999999999</v>
      </c>
      <c r="E20">
        <v>1077.58</v>
      </c>
      <c r="F20">
        <f t="shared" si="1"/>
        <v>539.29364999999996</v>
      </c>
      <c r="G20">
        <f t="shared" si="2"/>
        <v>359.86486666666661</v>
      </c>
      <c r="H20">
        <f t="shared" si="3"/>
        <v>270.15047499999997</v>
      </c>
      <c r="I20">
        <v>0</v>
      </c>
      <c r="J20">
        <v>4</v>
      </c>
      <c r="O20" t="s">
        <v>238</v>
      </c>
      <c r="P20" s="7" t="s">
        <v>228</v>
      </c>
    </row>
    <row r="21" spans="1:17" x14ac:dyDescent="0.25">
      <c r="C21" t="s">
        <v>227</v>
      </c>
      <c r="D21">
        <f t="shared" si="0"/>
        <v>1099.5618999999999</v>
      </c>
      <c r="E21">
        <v>1077.58</v>
      </c>
      <c r="F21">
        <f t="shared" si="1"/>
        <v>539.29364999999996</v>
      </c>
      <c r="G21">
        <f t="shared" si="2"/>
        <v>359.86486666666661</v>
      </c>
      <c r="H21">
        <f t="shared" si="3"/>
        <v>270.15047499999997</v>
      </c>
      <c r="I21">
        <v>0</v>
      </c>
      <c r="J21">
        <v>1</v>
      </c>
      <c r="O21" t="s">
        <v>240</v>
      </c>
      <c r="P21" s="7" t="s">
        <v>239</v>
      </c>
    </row>
    <row r="22" spans="1:17" x14ac:dyDescent="0.25">
      <c r="C22" t="s">
        <v>227</v>
      </c>
      <c r="D22">
        <f t="shared" si="0"/>
        <v>1099.5618999999999</v>
      </c>
      <c r="E22">
        <v>1077.58</v>
      </c>
      <c r="F22">
        <f t="shared" si="1"/>
        <v>539.29364999999996</v>
      </c>
      <c r="G22">
        <f t="shared" si="2"/>
        <v>359.86486666666661</v>
      </c>
      <c r="H22">
        <f t="shared" si="3"/>
        <v>270.15047499999997</v>
      </c>
      <c r="I22">
        <v>0</v>
      </c>
      <c r="J22">
        <v>1</v>
      </c>
      <c r="O22" t="s">
        <v>241</v>
      </c>
      <c r="P22" s="7" t="s">
        <v>239</v>
      </c>
    </row>
    <row r="23" spans="1:17" x14ac:dyDescent="0.25">
      <c r="C23" t="s">
        <v>227</v>
      </c>
      <c r="D23">
        <f t="shared" ref="D23:D24" si="16">E23+21.9819</f>
        <v>1099.5618999999999</v>
      </c>
      <c r="E23">
        <v>1077.58</v>
      </c>
      <c r="F23">
        <f t="shared" ref="F23:F24" si="17">(E23+1.0073)/2</f>
        <v>539.29364999999996</v>
      </c>
      <c r="G23">
        <f t="shared" ref="G23:G24" si="18">(E23+1.0073*2)/3</f>
        <v>359.86486666666661</v>
      </c>
      <c r="H23">
        <f t="shared" ref="H23:H24" si="19">(E23+1.0073*3)/4</f>
        <v>270.15047499999997</v>
      </c>
      <c r="I23">
        <v>0</v>
      </c>
      <c r="J23">
        <v>2</v>
      </c>
      <c r="O23" t="s">
        <v>241</v>
      </c>
      <c r="P23" s="2" t="s">
        <v>244</v>
      </c>
    </row>
    <row r="24" spans="1:17" x14ac:dyDescent="0.25">
      <c r="C24" t="s">
        <v>227</v>
      </c>
      <c r="D24">
        <f t="shared" si="16"/>
        <v>1099.5618999999999</v>
      </c>
      <c r="E24">
        <v>1077.58</v>
      </c>
      <c r="F24">
        <f t="shared" si="17"/>
        <v>539.29364999999996</v>
      </c>
      <c r="G24">
        <f t="shared" si="18"/>
        <v>359.86486666666661</v>
      </c>
      <c r="H24">
        <f t="shared" si="19"/>
        <v>270.15047499999997</v>
      </c>
      <c r="I24">
        <v>0</v>
      </c>
      <c r="J24">
        <v>3</v>
      </c>
      <c r="O24" t="s">
        <v>242</v>
      </c>
      <c r="P24" s="2" t="s">
        <v>245</v>
      </c>
    </row>
    <row r="25" spans="1:17" x14ac:dyDescent="0.25">
      <c r="C25" t="s">
        <v>98</v>
      </c>
      <c r="D25">
        <f t="shared" si="0"/>
        <v>1099.5618999999999</v>
      </c>
      <c r="E25">
        <v>1077.58</v>
      </c>
      <c r="F25">
        <f t="shared" si="1"/>
        <v>539.29364999999996</v>
      </c>
      <c r="G25">
        <f t="shared" si="2"/>
        <v>359.86486666666661</v>
      </c>
      <c r="H25">
        <f t="shared" si="3"/>
        <v>270.15047499999997</v>
      </c>
      <c r="I25">
        <v>0</v>
      </c>
      <c r="J25">
        <v>2</v>
      </c>
      <c r="O25" t="s">
        <v>229</v>
      </c>
      <c r="P25" s="2" t="s">
        <v>243</v>
      </c>
    </row>
    <row r="26" spans="1:17" x14ac:dyDescent="0.25">
      <c r="C26" t="s">
        <v>99</v>
      </c>
      <c r="D26">
        <f t="shared" ref="D26" si="20">E26+21.9819</f>
        <v>1099.5618999999999</v>
      </c>
      <c r="E26">
        <v>1077.58</v>
      </c>
      <c r="F26">
        <f t="shared" ref="F26" si="21">(E26+1.0073)/2</f>
        <v>539.29364999999996</v>
      </c>
      <c r="G26">
        <f t="shared" ref="G26" si="22">(E26+1.0073*2)/3</f>
        <v>359.86486666666661</v>
      </c>
      <c r="H26">
        <f t="shared" ref="H26" si="23">(E26+1.0073*3)/4</f>
        <v>270.15047499999997</v>
      </c>
      <c r="I26">
        <v>0</v>
      </c>
      <c r="J26">
        <v>1</v>
      </c>
      <c r="O26" t="s">
        <v>230</v>
      </c>
      <c r="P26" t="s">
        <v>231</v>
      </c>
    </row>
    <row r="27" spans="1:17" x14ac:dyDescent="0.25">
      <c r="C27" t="s">
        <v>100</v>
      </c>
      <c r="D27">
        <f t="shared" si="0"/>
        <v>1129.5724</v>
      </c>
      <c r="E27">
        <v>1107.5905</v>
      </c>
      <c r="F27">
        <f t="shared" si="1"/>
        <v>554.2989</v>
      </c>
      <c r="G27">
        <f t="shared" si="2"/>
        <v>369.86836666666665</v>
      </c>
      <c r="H27">
        <f t="shared" si="3"/>
        <v>277.65309999999999</v>
      </c>
      <c r="I27">
        <v>0</v>
      </c>
      <c r="J27">
        <v>0</v>
      </c>
      <c r="P27" s="2" t="s">
        <v>248</v>
      </c>
    </row>
    <row r="28" spans="1:17" x14ac:dyDescent="0.25">
      <c r="A28">
        <v>9</v>
      </c>
      <c r="B28" t="s">
        <v>35</v>
      </c>
      <c r="C28" t="s">
        <v>33</v>
      </c>
      <c r="D28">
        <f t="shared" si="0"/>
        <v>1140.5884000000001</v>
      </c>
      <c r="E28">
        <v>1118.6065000000001</v>
      </c>
      <c r="F28">
        <f t="shared" si="1"/>
        <v>559.80690000000004</v>
      </c>
      <c r="G28">
        <f t="shared" si="2"/>
        <v>373.54036666666667</v>
      </c>
      <c r="H28">
        <f t="shared" si="3"/>
        <v>280.40710000000001</v>
      </c>
      <c r="I28">
        <v>0</v>
      </c>
      <c r="J28">
        <v>3</v>
      </c>
      <c r="P28" s="7" t="s">
        <v>249</v>
      </c>
    </row>
    <row r="29" spans="1:17" x14ac:dyDescent="0.25">
      <c r="C29" t="s">
        <v>101</v>
      </c>
      <c r="D29">
        <f t="shared" si="0"/>
        <v>1170.5989999999999</v>
      </c>
      <c r="E29">
        <v>1148.6170999999999</v>
      </c>
      <c r="F29">
        <f t="shared" si="1"/>
        <v>574.81219999999996</v>
      </c>
      <c r="G29">
        <f t="shared" si="2"/>
        <v>383.54389999999995</v>
      </c>
      <c r="H29">
        <f t="shared" si="3"/>
        <v>287.90974999999997</v>
      </c>
      <c r="I29">
        <v>0</v>
      </c>
      <c r="J29">
        <v>4</v>
      </c>
      <c r="P29" s="7" t="s">
        <v>250</v>
      </c>
    </row>
    <row r="30" spans="1:17" x14ac:dyDescent="0.25">
      <c r="C30" t="s">
        <v>252</v>
      </c>
      <c r="D30">
        <f t="shared" si="0"/>
        <v>1157.6036999999999</v>
      </c>
      <c r="E30">
        <v>1135.6217999999999</v>
      </c>
      <c r="F30">
        <f t="shared" si="1"/>
        <v>568.31454999999994</v>
      </c>
      <c r="G30">
        <f t="shared" si="2"/>
        <v>379.21213333333327</v>
      </c>
      <c r="H30">
        <f t="shared" si="3"/>
        <v>284.66092499999996</v>
      </c>
      <c r="I30">
        <v>0</v>
      </c>
      <c r="J30">
        <v>2</v>
      </c>
      <c r="N30">
        <v>3</v>
      </c>
      <c r="O30">
        <f>E30+17.0022</f>
        <v>1152.6239999999998</v>
      </c>
      <c r="P30" s="7" t="s">
        <v>254</v>
      </c>
    </row>
    <row r="31" spans="1:17" x14ac:dyDescent="0.25">
      <c r="A31">
        <v>10</v>
      </c>
      <c r="B31" t="s">
        <v>36</v>
      </c>
      <c r="C31" t="s">
        <v>37</v>
      </c>
      <c r="D31">
        <f t="shared" si="0"/>
        <v>1174.5826999999999</v>
      </c>
      <c r="E31">
        <v>1152.6007999999999</v>
      </c>
      <c r="F31">
        <f t="shared" si="1"/>
        <v>576.80404999999996</v>
      </c>
      <c r="G31">
        <f t="shared" si="2"/>
        <v>384.87179999999995</v>
      </c>
      <c r="H31">
        <f t="shared" si="3"/>
        <v>288.90567499999997</v>
      </c>
      <c r="I31">
        <v>0</v>
      </c>
      <c r="J31">
        <v>1</v>
      </c>
    </row>
    <row r="32" spans="1:17" x14ac:dyDescent="0.25">
      <c r="A32">
        <v>11</v>
      </c>
      <c r="B32" t="s">
        <v>36</v>
      </c>
      <c r="C32" t="s">
        <v>37</v>
      </c>
      <c r="D32">
        <f t="shared" si="0"/>
        <v>1174.5826999999999</v>
      </c>
      <c r="E32">
        <v>1152.6007999999999</v>
      </c>
      <c r="F32">
        <f t="shared" si="1"/>
        <v>576.80404999999996</v>
      </c>
      <c r="G32">
        <f t="shared" si="2"/>
        <v>384.87179999999995</v>
      </c>
      <c r="H32">
        <f t="shared" si="3"/>
        <v>288.90567499999997</v>
      </c>
      <c r="I32">
        <v>0</v>
      </c>
      <c r="J32">
        <v>3</v>
      </c>
      <c r="P32" s="7" t="s">
        <v>258</v>
      </c>
    </row>
    <row r="33" spans="1:16" x14ac:dyDescent="0.25">
      <c r="C33" t="s">
        <v>102</v>
      </c>
      <c r="D33">
        <f t="shared" si="0"/>
        <v>1187.6143</v>
      </c>
      <c r="E33">
        <v>1165.6324</v>
      </c>
      <c r="F33">
        <f t="shared" si="1"/>
        <v>583.31984999999997</v>
      </c>
      <c r="G33">
        <f t="shared" si="2"/>
        <v>389.21566666666666</v>
      </c>
      <c r="H33">
        <f t="shared" si="3"/>
        <v>292.16357499999998</v>
      </c>
      <c r="I33">
        <v>0</v>
      </c>
      <c r="J33">
        <v>2</v>
      </c>
      <c r="P33" s="7" t="s">
        <v>259</v>
      </c>
    </row>
    <row r="34" spans="1:16" x14ac:dyDescent="0.25">
      <c r="C34" t="s">
        <v>103</v>
      </c>
      <c r="D34">
        <f t="shared" si="0"/>
        <v>1198.6303</v>
      </c>
      <c r="E34">
        <v>1176.6484</v>
      </c>
      <c r="F34">
        <f t="shared" si="1"/>
        <v>588.82785000000001</v>
      </c>
      <c r="G34">
        <f t="shared" si="2"/>
        <v>392.88766666666669</v>
      </c>
      <c r="H34">
        <f t="shared" si="3"/>
        <v>294.917575</v>
      </c>
      <c r="I34">
        <v>0</v>
      </c>
      <c r="J34">
        <v>5</v>
      </c>
      <c r="P34" s="7" t="s">
        <v>260</v>
      </c>
    </row>
    <row r="35" spans="1:16" x14ac:dyDescent="0.25">
      <c r="B35" t="s">
        <v>105</v>
      </c>
      <c r="C35" t="s">
        <v>104</v>
      </c>
      <c r="D35">
        <f t="shared" si="0"/>
        <v>1202.614</v>
      </c>
      <c r="E35">
        <v>1180.6321</v>
      </c>
      <c r="F35">
        <f t="shared" si="1"/>
        <v>590.81970000000001</v>
      </c>
      <c r="G35">
        <f t="shared" si="2"/>
        <v>394.21556666666669</v>
      </c>
      <c r="H35">
        <f t="shared" si="3"/>
        <v>295.9135</v>
      </c>
      <c r="I35">
        <v>0</v>
      </c>
      <c r="J35">
        <v>0</v>
      </c>
    </row>
    <row r="36" spans="1:16" x14ac:dyDescent="0.25">
      <c r="A36">
        <v>12</v>
      </c>
      <c r="B36" t="s">
        <v>38</v>
      </c>
      <c r="C36" t="s">
        <v>39</v>
      </c>
      <c r="D36">
        <f t="shared" si="0"/>
        <v>1215.6092000000001</v>
      </c>
      <c r="E36">
        <v>1193.6273000000001</v>
      </c>
      <c r="F36">
        <f t="shared" si="1"/>
        <v>597.31730000000005</v>
      </c>
      <c r="G36">
        <f t="shared" si="2"/>
        <v>398.54730000000001</v>
      </c>
      <c r="H36">
        <f t="shared" si="3"/>
        <v>299.16230000000002</v>
      </c>
      <c r="I36">
        <v>0</v>
      </c>
      <c r="J36">
        <v>3</v>
      </c>
      <c r="P36" t="s">
        <v>264</v>
      </c>
    </row>
    <row r="37" spans="1:16" x14ac:dyDescent="0.25">
      <c r="A37">
        <v>13</v>
      </c>
      <c r="B37" t="s">
        <v>38</v>
      </c>
      <c r="C37" t="s">
        <v>39</v>
      </c>
      <c r="D37">
        <f t="shared" si="0"/>
        <v>1215.6092000000001</v>
      </c>
      <c r="E37">
        <v>1193.6273000000001</v>
      </c>
      <c r="F37">
        <f t="shared" si="1"/>
        <v>597.31730000000005</v>
      </c>
      <c r="G37">
        <f t="shared" si="2"/>
        <v>398.54730000000001</v>
      </c>
      <c r="H37">
        <f t="shared" si="3"/>
        <v>299.16230000000002</v>
      </c>
      <c r="I37">
        <v>0</v>
      </c>
      <c r="J37">
        <v>2</v>
      </c>
      <c r="P37">
        <v>539</v>
      </c>
    </row>
    <row r="38" spans="1:16" x14ac:dyDescent="0.25">
      <c r="C38" t="s">
        <v>106</v>
      </c>
      <c r="D38">
        <f t="shared" si="0"/>
        <v>1228.6409000000001</v>
      </c>
      <c r="E38">
        <v>1206.6590000000001</v>
      </c>
      <c r="F38">
        <f t="shared" si="1"/>
        <v>603.83315000000005</v>
      </c>
      <c r="G38">
        <f t="shared" si="2"/>
        <v>402.89120000000003</v>
      </c>
      <c r="H38">
        <f t="shared" si="3"/>
        <v>302.42022500000002</v>
      </c>
      <c r="I38">
        <v>0</v>
      </c>
      <c r="J38">
        <v>1</v>
      </c>
      <c r="K38">
        <v>7</v>
      </c>
      <c r="P38" t="s">
        <v>265</v>
      </c>
    </row>
    <row r="39" spans="1:16" x14ac:dyDescent="0.25">
      <c r="A39">
        <v>14</v>
      </c>
      <c r="B39" t="s">
        <v>40</v>
      </c>
      <c r="C39" t="s">
        <v>41</v>
      </c>
      <c r="D39">
        <f t="shared" si="0"/>
        <v>1239.6568</v>
      </c>
      <c r="E39">
        <v>1217.6749</v>
      </c>
      <c r="F39">
        <f t="shared" si="1"/>
        <v>609.34109999999998</v>
      </c>
      <c r="G39">
        <f t="shared" si="2"/>
        <v>406.56316666666663</v>
      </c>
      <c r="H39">
        <f t="shared" si="3"/>
        <v>305.17419999999998</v>
      </c>
      <c r="I39">
        <v>0</v>
      </c>
      <c r="J39">
        <v>0</v>
      </c>
      <c r="K39">
        <v>0</v>
      </c>
    </row>
    <row r="40" spans="1:16" x14ac:dyDescent="0.25">
      <c r="A40">
        <v>15</v>
      </c>
      <c r="B40" t="s">
        <v>42</v>
      </c>
      <c r="C40" t="s">
        <v>43</v>
      </c>
      <c r="D40">
        <f t="shared" si="0"/>
        <v>1256.6358</v>
      </c>
      <c r="E40">
        <v>1234.6539</v>
      </c>
      <c r="F40">
        <f t="shared" si="1"/>
        <v>617.8306</v>
      </c>
      <c r="G40">
        <f t="shared" si="2"/>
        <v>412.22283333333331</v>
      </c>
      <c r="H40">
        <f t="shared" si="3"/>
        <v>309.41895</v>
      </c>
      <c r="I40">
        <v>0</v>
      </c>
      <c r="J40">
        <v>3</v>
      </c>
      <c r="K40">
        <v>7</v>
      </c>
      <c r="P40" t="s">
        <v>278</v>
      </c>
    </row>
    <row r="41" spans="1:16" x14ac:dyDescent="0.25">
      <c r="C41" t="s">
        <v>272</v>
      </c>
      <c r="D41">
        <f t="shared" si="0"/>
        <v>1273.6511</v>
      </c>
      <c r="E41">
        <v>1251.6692</v>
      </c>
      <c r="F41">
        <f t="shared" si="1"/>
        <v>626.33825000000002</v>
      </c>
      <c r="G41">
        <f t="shared" si="2"/>
        <v>417.89460000000003</v>
      </c>
      <c r="H41">
        <f t="shared" si="3"/>
        <v>313.672775</v>
      </c>
      <c r="I41">
        <v>0</v>
      </c>
      <c r="J41">
        <v>0</v>
      </c>
      <c r="K41">
        <v>1</v>
      </c>
      <c r="P41" t="s">
        <v>273</v>
      </c>
    </row>
    <row r="42" spans="1:16" x14ac:dyDescent="0.25">
      <c r="C42" t="s">
        <v>272</v>
      </c>
      <c r="D42">
        <f t="shared" ref="D42" si="24">E42+21.9819</f>
        <v>1273.6511</v>
      </c>
      <c r="E42">
        <v>1251.6692</v>
      </c>
      <c r="F42">
        <f t="shared" ref="F42" si="25">(E42+1.0073)/2</f>
        <v>626.33825000000002</v>
      </c>
      <c r="G42">
        <f t="shared" ref="G42" si="26">(E42+1.0073*2)/3</f>
        <v>417.89460000000003</v>
      </c>
      <c r="H42">
        <f t="shared" ref="H42" si="27">(E42+1.0073*3)/4</f>
        <v>313.672775</v>
      </c>
      <c r="I42">
        <v>0</v>
      </c>
      <c r="J42">
        <v>2</v>
      </c>
      <c r="K42">
        <v>2</v>
      </c>
      <c r="P42" t="s">
        <v>274</v>
      </c>
    </row>
    <row r="43" spans="1:16" x14ac:dyDescent="0.25">
      <c r="C43" t="s">
        <v>107</v>
      </c>
      <c r="D43">
        <f t="shared" si="0"/>
        <v>1273.6511</v>
      </c>
      <c r="E43">
        <v>1251.6692</v>
      </c>
      <c r="F43">
        <f t="shared" si="1"/>
        <v>626.33825000000002</v>
      </c>
      <c r="G43">
        <f t="shared" si="2"/>
        <v>417.89460000000003</v>
      </c>
      <c r="H43">
        <f t="shared" si="3"/>
        <v>313.672775</v>
      </c>
      <c r="I43">
        <v>0</v>
      </c>
      <c r="J43">
        <v>0</v>
      </c>
      <c r="K43">
        <v>0</v>
      </c>
      <c r="P43" t="s">
        <v>280</v>
      </c>
    </row>
    <row r="44" spans="1:16" x14ac:dyDescent="0.25">
      <c r="A44">
        <v>16</v>
      </c>
      <c r="B44" s="4" t="s">
        <v>44</v>
      </c>
      <c r="C44" t="s">
        <v>45</v>
      </c>
      <c r="D44">
        <f t="shared" si="0"/>
        <v>1286.6462999999999</v>
      </c>
      <c r="E44">
        <v>1264.6643999999999</v>
      </c>
      <c r="F44">
        <f t="shared" si="1"/>
        <v>632.83584999999994</v>
      </c>
      <c r="G44">
        <f t="shared" si="2"/>
        <v>422.22633333333329</v>
      </c>
      <c r="H44">
        <f t="shared" si="3"/>
        <v>316.92157499999996</v>
      </c>
      <c r="I44">
        <v>0</v>
      </c>
      <c r="J44">
        <v>5</v>
      </c>
      <c r="K44">
        <v>10</v>
      </c>
      <c r="P44" t="s">
        <v>150</v>
      </c>
    </row>
    <row r="45" spans="1:16" x14ac:dyDescent="0.25">
      <c r="A45">
        <v>17</v>
      </c>
      <c r="B45" s="4" t="s">
        <v>44</v>
      </c>
      <c r="C45" t="s">
        <v>45</v>
      </c>
      <c r="D45">
        <f t="shared" ref="D45:D70" si="28">E45+21.9819</f>
        <v>1286.6462999999999</v>
      </c>
      <c r="E45">
        <v>1264.6643999999999</v>
      </c>
      <c r="F45">
        <f t="shared" ref="F45:F70" si="29">(E45+1.0073)/2</f>
        <v>632.83584999999994</v>
      </c>
      <c r="G45">
        <f t="shared" ref="G45:G70" si="30">(E45+1.0073*2)/3</f>
        <v>422.22633333333329</v>
      </c>
      <c r="H45">
        <f t="shared" ref="H45:H70" si="31">(E45+1.0073*3)/4</f>
        <v>316.92157499999996</v>
      </c>
      <c r="I45">
        <v>0</v>
      </c>
      <c r="J45">
        <v>0</v>
      </c>
      <c r="K45">
        <v>0</v>
      </c>
    </row>
    <row r="46" spans="1:16" x14ac:dyDescent="0.25">
      <c r="A46">
        <v>18</v>
      </c>
      <c r="B46" t="s">
        <v>46</v>
      </c>
      <c r="C46" t="s">
        <v>47</v>
      </c>
      <c r="D46">
        <f t="shared" si="28"/>
        <v>1314.6776</v>
      </c>
      <c r="E46">
        <v>1292.6957</v>
      </c>
      <c r="F46">
        <f t="shared" si="29"/>
        <v>646.85149999999999</v>
      </c>
      <c r="G46">
        <f t="shared" si="30"/>
        <v>431.57009999999997</v>
      </c>
      <c r="H46">
        <f t="shared" si="31"/>
        <v>323.92939999999999</v>
      </c>
      <c r="I46">
        <v>0</v>
      </c>
      <c r="J46">
        <v>3</v>
      </c>
      <c r="K46">
        <v>5</v>
      </c>
    </row>
    <row r="47" spans="1:16" x14ac:dyDescent="0.25">
      <c r="A47">
        <v>19</v>
      </c>
      <c r="B47" t="s">
        <v>48</v>
      </c>
      <c r="C47" t="s">
        <v>49</v>
      </c>
      <c r="D47">
        <f t="shared" si="28"/>
        <v>1316.6569</v>
      </c>
      <c r="E47">
        <v>1294.675</v>
      </c>
      <c r="F47">
        <f t="shared" si="29"/>
        <v>647.84114999999997</v>
      </c>
      <c r="G47">
        <f t="shared" si="30"/>
        <v>432.22986666666662</v>
      </c>
      <c r="H47">
        <f t="shared" si="31"/>
        <v>324.42422499999998</v>
      </c>
      <c r="I47">
        <v>0</v>
      </c>
      <c r="J47">
        <v>1</v>
      </c>
      <c r="K47">
        <v>6</v>
      </c>
      <c r="P47" t="s">
        <v>288</v>
      </c>
    </row>
    <row r="48" spans="1:16" x14ac:dyDescent="0.25">
      <c r="A48">
        <v>20</v>
      </c>
      <c r="B48" t="s">
        <v>50</v>
      </c>
      <c r="C48" t="s">
        <v>51</v>
      </c>
      <c r="D48">
        <f t="shared" si="28"/>
        <v>1344.6882000000001</v>
      </c>
      <c r="E48">
        <v>1322.7063000000001</v>
      </c>
      <c r="F48">
        <f t="shared" si="29"/>
        <v>661.85680000000002</v>
      </c>
      <c r="G48">
        <f t="shared" si="30"/>
        <v>441.57363333333336</v>
      </c>
      <c r="H48">
        <f t="shared" si="31"/>
        <v>331.43205</v>
      </c>
      <c r="I48">
        <v>0</v>
      </c>
      <c r="J48">
        <v>6</v>
      </c>
      <c r="K48">
        <v>6</v>
      </c>
    </row>
    <row r="49" spans="1:19" x14ac:dyDescent="0.25">
      <c r="A49">
        <v>21</v>
      </c>
      <c r="B49" t="s">
        <v>52</v>
      </c>
      <c r="C49" t="s">
        <v>53</v>
      </c>
      <c r="D49">
        <f t="shared" si="28"/>
        <v>1344.6882000000001</v>
      </c>
      <c r="E49">
        <v>1322.7063000000001</v>
      </c>
      <c r="F49">
        <f t="shared" si="29"/>
        <v>661.85680000000002</v>
      </c>
      <c r="G49">
        <f t="shared" si="30"/>
        <v>441.57363333333336</v>
      </c>
      <c r="H49">
        <f t="shared" si="31"/>
        <v>331.43205</v>
      </c>
      <c r="I49">
        <v>0</v>
      </c>
      <c r="J49">
        <v>1</v>
      </c>
      <c r="K49">
        <v>2</v>
      </c>
      <c r="P49" t="s">
        <v>151</v>
      </c>
    </row>
    <row r="50" spans="1:19" x14ac:dyDescent="0.25">
      <c r="B50" t="s">
        <v>290</v>
      </c>
      <c r="C50" t="s">
        <v>53</v>
      </c>
      <c r="D50">
        <f t="shared" ref="D50" si="32">E50+21.9819</f>
        <v>1344.6882000000001</v>
      </c>
      <c r="E50">
        <v>1322.7063000000001</v>
      </c>
      <c r="F50">
        <f t="shared" ref="F50" si="33">(E50+1.0073)/2</f>
        <v>661.85680000000002</v>
      </c>
      <c r="G50">
        <f t="shared" ref="G50" si="34">(E50+1.0073*2)/3</f>
        <v>441.57363333333336</v>
      </c>
      <c r="H50">
        <f t="shared" ref="H50" si="35">(E50+1.0073*3)/4</f>
        <v>331.43205</v>
      </c>
      <c r="I50">
        <v>0</v>
      </c>
      <c r="J50">
        <v>1</v>
      </c>
      <c r="K50">
        <v>1</v>
      </c>
      <c r="P50" t="s">
        <v>291</v>
      </c>
    </row>
    <row r="51" spans="1:19" x14ac:dyDescent="0.25">
      <c r="A51">
        <v>22</v>
      </c>
      <c r="B51" t="s">
        <v>54</v>
      </c>
      <c r="C51" t="s">
        <v>53</v>
      </c>
      <c r="D51">
        <f t="shared" si="28"/>
        <v>1344.6882000000001</v>
      </c>
      <c r="E51">
        <v>1322.7063000000001</v>
      </c>
      <c r="F51">
        <f t="shared" si="29"/>
        <v>661.85680000000002</v>
      </c>
      <c r="G51">
        <f t="shared" si="30"/>
        <v>441.57363333333336</v>
      </c>
      <c r="H51">
        <f t="shared" si="31"/>
        <v>331.43205</v>
      </c>
      <c r="I51">
        <v>0</v>
      </c>
      <c r="J51">
        <v>0</v>
      </c>
      <c r="K51">
        <v>0</v>
      </c>
    </row>
    <row r="52" spans="1:19" x14ac:dyDescent="0.25">
      <c r="B52" t="s">
        <v>109</v>
      </c>
      <c r="C52" t="s">
        <v>108</v>
      </c>
      <c r="D52">
        <f t="shared" si="28"/>
        <v>1357.6819</v>
      </c>
      <c r="E52">
        <v>1335.7</v>
      </c>
      <c r="F52">
        <f t="shared" si="29"/>
        <v>668.35365000000002</v>
      </c>
      <c r="G52">
        <f t="shared" si="30"/>
        <v>445.90486666666669</v>
      </c>
      <c r="H52">
        <f t="shared" si="31"/>
        <v>334.680475</v>
      </c>
      <c r="I52">
        <v>0</v>
      </c>
      <c r="J52">
        <v>0</v>
      </c>
      <c r="K52">
        <v>2</v>
      </c>
      <c r="P52" t="s">
        <v>292</v>
      </c>
    </row>
    <row r="53" spans="1:19" x14ac:dyDescent="0.25">
      <c r="B53" t="s">
        <v>55</v>
      </c>
      <c r="C53" t="s">
        <v>56</v>
      </c>
      <c r="D53">
        <f t="shared" ref="D53" si="36">E53+21.9819</f>
        <v>1361.7035000000001</v>
      </c>
      <c r="E53">
        <v>1339.7216000000001</v>
      </c>
      <c r="F53">
        <f t="shared" ref="F53" si="37">(E53+1.0073)/2</f>
        <v>670.36445000000003</v>
      </c>
      <c r="G53">
        <f t="shared" ref="G53" si="38">(E53+1.0073*2)/3</f>
        <v>447.24540000000002</v>
      </c>
      <c r="H53">
        <f t="shared" ref="H53" si="39">(E53+1.0073*3)/4</f>
        <v>335.68587500000001</v>
      </c>
      <c r="I53">
        <v>0</v>
      </c>
      <c r="J53">
        <v>0</v>
      </c>
      <c r="K53">
        <v>2</v>
      </c>
      <c r="P53" t="s">
        <v>293</v>
      </c>
    </row>
    <row r="54" spans="1:19" x14ac:dyDescent="0.25">
      <c r="A54">
        <v>23</v>
      </c>
      <c r="B54" t="s">
        <v>55</v>
      </c>
      <c r="C54" t="s">
        <v>56</v>
      </c>
      <c r="D54">
        <f t="shared" si="28"/>
        <v>1361.7035000000001</v>
      </c>
      <c r="E54">
        <v>1339.7216000000001</v>
      </c>
      <c r="F54">
        <f t="shared" si="29"/>
        <v>670.36445000000003</v>
      </c>
      <c r="G54">
        <f t="shared" si="30"/>
        <v>447.24540000000002</v>
      </c>
      <c r="H54">
        <f t="shared" si="31"/>
        <v>335.68587500000001</v>
      </c>
      <c r="I54">
        <v>0</v>
      </c>
      <c r="J54">
        <v>3</v>
      </c>
      <c r="K54">
        <v>0</v>
      </c>
    </row>
    <row r="55" spans="1:19" x14ac:dyDescent="0.25">
      <c r="A55">
        <v>24</v>
      </c>
      <c r="B55" t="s">
        <v>55</v>
      </c>
      <c r="C55" t="s">
        <v>56</v>
      </c>
      <c r="D55">
        <f t="shared" si="28"/>
        <v>1361.7035000000001</v>
      </c>
      <c r="E55">
        <v>1339.7216000000001</v>
      </c>
      <c r="F55">
        <f t="shared" si="29"/>
        <v>670.36445000000003</v>
      </c>
      <c r="G55">
        <f t="shared" si="30"/>
        <v>447.24540000000002</v>
      </c>
      <c r="H55">
        <f t="shared" si="31"/>
        <v>335.68587500000001</v>
      </c>
      <c r="I55">
        <v>0</v>
      </c>
      <c r="J55">
        <v>0</v>
      </c>
      <c r="K55">
        <v>0</v>
      </c>
    </row>
    <row r="56" spans="1:19" x14ac:dyDescent="0.25">
      <c r="A56">
        <v>25</v>
      </c>
      <c r="B56" t="s">
        <v>58</v>
      </c>
      <c r="C56" t="s">
        <v>57</v>
      </c>
      <c r="D56">
        <f t="shared" si="28"/>
        <v>1374.6987999999999</v>
      </c>
      <c r="E56">
        <v>1352.7168999999999</v>
      </c>
      <c r="F56">
        <f t="shared" si="29"/>
        <v>676.86209999999994</v>
      </c>
      <c r="G56">
        <f t="shared" si="30"/>
        <v>451.57716666666664</v>
      </c>
      <c r="H56">
        <f t="shared" si="31"/>
        <v>338.93469999999996</v>
      </c>
      <c r="I56">
        <v>0</v>
      </c>
      <c r="J56">
        <v>1</v>
      </c>
      <c r="K56">
        <v>2</v>
      </c>
      <c r="P56" t="s">
        <v>297</v>
      </c>
    </row>
    <row r="57" spans="1:19" x14ac:dyDescent="0.25">
      <c r="A57">
        <v>26</v>
      </c>
      <c r="B57" t="s">
        <v>59</v>
      </c>
      <c r="C57" t="s">
        <v>57</v>
      </c>
      <c r="D57">
        <f t="shared" si="28"/>
        <v>1374.6987999999999</v>
      </c>
      <c r="E57">
        <v>1352.7168999999999</v>
      </c>
      <c r="F57">
        <f t="shared" si="29"/>
        <v>676.86209999999994</v>
      </c>
      <c r="G57">
        <f t="shared" si="30"/>
        <v>451.57716666666664</v>
      </c>
      <c r="H57">
        <f t="shared" si="31"/>
        <v>338.93469999999996</v>
      </c>
      <c r="I57">
        <v>0</v>
      </c>
      <c r="J57">
        <v>0</v>
      </c>
      <c r="K57">
        <v>1</v>
      </c>
    </row>
    <row r="58" spans="1:19" x14ac:dyDescent="0.25">
      <c r="A58">
        <v>28</v>
      </c>
      <c r="B58" t="s">
        <v>62</v>
      </c>
      <c r="C58" t="s">
        <v>63</v>
      </c>
      <c r="D58">
        <f t="shared" si="28"/>
        <v>1617.8094000000001</v>
      </c>
      <c r="E58">
        <v>1595.8275000000001</v>
      </c>
      <c r="F58">
        <f t="shared" si="29"/>
        <v>798.41740000000004</v>
      </c>
      <c r="G58">
        <f t="shared" si="30"/>
        <v>532.6140333333334</v>
      </c>
      <c r="H58">
        <f t="shared" si="31"/>
        <v>399.71235000000001</v>
      </c>
      <c r="I58">
        <v>0</v>
      </c>
      <c r="J58">
        <v>0</v>
      </c>
      <c r="K58">
        <v>3</v>
      </c>
    </row>
    <row r="59" spans="1:19" x14ac:dyDescent="0.25">
      <c r="A59">
        <v>27</v>
      </c>
      <c r="B59" t="s">
        <v>60</v>
      </c>
      <c r="C59" t="s">
        <v>61</v>
      </c>
      <c r="D59">
        <f t="shared" si="28"/>
        <v>1617.8458000000001</v>
      </c>
      <c r="E59">
        <v>1595.8639000000001</v>
      </c>
      <c r="F59">
        <f t="shared" si="29"/>
        <v>798.43560000000002</v>
      </c>
      <c r="G59">
        <f t="shared" si="30"/>
        <v>532.62616666666668</v>
      </c>
      <c r="H59">
        <f t="shared" si="31"/>
        <v>399.72145</v>
      </c>
      <c r="I59">
        <v>0</v>
      </c>
      <c r="J59">
        <v>0</v>
      </c>
      <c r="K59">
        <v>0</v>
      </c>
      <c r="P59" t="s">
        <v>298</v>
      </c>
    </row>
    <row r="60" spans="1:19" x14ac:dyDescent="0.25">
      <c r="A60">
        <v>29</v>
      </c>
      <c r="B60" t="s">
        <v>64</v>
      </c>
      <c r="C60" t="s">
        <v>65</v>
      </c>
      <c r="D60">
        <f t="shared" si="28"/>
        <v>1647.82</v>
      </c>
      <c r="E60">
        <v>1625.8380999999999</v>
      </c>
      <c r="F60">
        <f t="shared" si="29"/>
        <v>813.42269999999996</v>
      </c>
      <c r="G60">
        <f t="shared" si="30"/>
        <v>542.61756666666668</v>
      </c>
      <c r="H60">
        <f t="shared" si="31"/>
        <v>407.21499999999997</v>
      </c>
      <c r="I60">
        <v>0</v>
      </c>
      <c r="J60">
        <v>0</v>
      </c>
      <c r="K60">
        <v>0</v>
      </c>
    </row>
    <row r="61" spans="1:19" x14ac:dyDescent="0.25">
      <c r="C61" t="s">
        <v>154</v>
      </c>
      <c r="D61">
        <f t="shared" si="28"/>
        <v>1705.8619000000001</v>
      </c>
      <c r="E61">
        <v>1683.88</v>
      </c>
      <c r="F61">
        <f t="shared" si="29"/>
        <v>842.44365000000005</v>
      </c>
      <c r="G61">
        <f t="shared" si="30"/>
        <v>561.96486666666669</v>
      </c>
      <c r="H61">
        <f t="shared" si="31"/>
        <v>421.72547500000002</v>
      </c>
      <c r="I61">
        <v>0</v>
      </c>
      <c r="J61">
        <v>0</v>
      </c>
      <c r="K61">
        <v>2</v>
      </c>
      <c r="S61" t="s">
        <v>155</v>
      </c>
    </row>
    <row r="62" spans="1:19" x14ac:dyDescent="0.25">
      <c r="A62">
        <v>30</v>
      </c>
      <c r="B62" t="s">
        <v>66</v>
      </c>
      <c r="C62" t="s">
        <v>68</v>
      </c>
      <c r="D62">
        <f t="shared" si="28"/>
        <v>1722.8771999999999</v>
      </c>
      <c r="E62">
        <v>1700.8952999999999</v>
      </c>
      <c r="F62">
        <f t="shared" si="29"/>
        <v>850.95129999999995</v>
      </c>
      <c r="G62">
        <f t="shared" si="30"/>
        <v>567.63663333333329</v>
      </c>
      <c r="H62">
        <f t="shared" si="31"/>
        <v>425.97929999999997</v>
      </c>
      <c r="I62">
        <v>0</v>
      </c>
      <c r="J62">
        <v>0</v>
      </c>
      <c r="K62">
        <v>6</v>
      </c>
    </row>
    <row r="63" spans="1:19" x14ac:dyDescent="0.25">
      <c r="A63">
        <v>31</v>
      </c>
      <c r="B63" t="s">
        <v>67</v>
      </c>
      <c r="C63" t="s">
        <v>69</v>
      </c>
      <c r="D63">
        <f t="shared" si="28"/>
        <v>1752.8877</v>
      </c>
      <c r="E63">
        <v>1730.9058</v>
      </c>
      <c r="F63">
        <f t="shared" si="29"/>
        <v>865.95654999999999</v>
      </c>
      <c r="G63">
        <f t="shared" si="30"/>
        <v>577.64013333333332</v>
      </c>
      <c r="H63">
        <f t="shared" si="31"/>
        <v>433.48192499999999</v>
      </c>
      <c r="I63">
        <v>0</v>
      </c>
      <c r="J63">
        <v>0</v>
      </c>
      <c r="K63">
        <v>1</v>
      </c>
      <c r="S63" t="s">
        <v>156</v>
      </c>
    </row>
    <row r="64" spans="1:19" x14ac:dyDescent="0.25">
      <c r="A64">
        <v>32</v>
      </c>
      <c r="B64" t="s">
        <v>70</v>
      </c>
      <c r="C64" t="s">
        <v>71</v>
      </c>
      <c r="D64">
        <f t="shared" si="28"/>
        <v>1791.9349999999999</v>
      </c>
      <c r="E64">
        <v>1769.9530999999999</v>
      </c>
      <c r="F64">
        <f t="shared" si="29"/>
        <v>885.48019999999997</v>
      </c>
      <c r="G64">
        <f t="shared" si="30"/>
        <v>590.65589999999997</v>
      </c>
      <c r="H64">
        <f t="shared" si="31"/>
        <v>443.24374999999998</v>
      </c>
      <c r="I64">
        <v>0</v>
      </c>
      <c r="J64">
        <v>0</v>
      </c>
      <c r="K64">
        <v>0</v>
      </c>
    </row>
    <row r="65" spans="1:19" x14ac:dyDescent="0.25">
      <c r="B65" t="s">
        <v>108</v>
      </c>
      <c r="C65" t="s">
        <v>110</v>
      </c>
      <c r="D65">
        <f t="shared" si="28"/>
        <v>1821.9456</v>
      </c>
      <c r="E65">
        <v>1799.9637</v>
      </c>
      <c r="F65">
        <f t="shared" si="29"/>
        <v>900.4855</v>
      </c>
      <c r="G65">
        <f t="shared" si="30"/>
        <v>600.65943333333337</v>
      </c>
      <c r="H65">
        <f t="shared" si="31"/>
        <v>450.74639999999999</v>
      </c>
      <c r="I65">
        <v>0</v>
      </c>
      <c r="J65">
        <v>0</v>
      </c>
      <c r="K65">
        <v>0</v>
      </c>
    </row>
    <row r="66" spans="1:19" x14ac:dyDescent="0.25">
      <c r="A66">
        <v>33</v>
      </c>
      <c r="B66" t="s">
        <v>72</v>
      </c>
      <c r="C66" t="s">
        <v>73</v>
      </c>
      <c r="D66">
        <f t="shared" si="28"/>
        <v>1978.9830999999999</v>
      </c>
      <c r="E66">
        <v>1957.0011999999999</v>
      </c>
      <c r="F66">
        <f t="shared" si="29"/>
        <v>979.00424999999996</v>
      </c>
      <c r="G66">
        <f t="shared" si="30"/>
        <v>653.00526666666667</v>
      </c>
      <c r="H66">
        <f t="shared" si="31"/>
        <v>490.00577499999997</v>
      </c>
      <c r="I66">
        <v>0</v>
      </c>
      <c r="J66">
        <v>0</v>
      </c>
      <c r="K66">
        <v>3</v>
      </c>
    </row>
    <row r="67" spans="1:19" x14ac:dyDescent="0.25">
      <c r="B67" t="s">
        <v>109</v>
      </c>
      <c r="D67">
        <f t="shared" si="28"/>
        <v>2064.9819000000002</v>
      </c>
      <c r="E67">
        <v>2043</v>
      </c>
      <c r="F67">
        <f t="shared" si="29"/>
        <v>1022.00365</v>
      </c>
      <c r="G67">
        <f t="shared" si="30"/>
        <v>681.67153333333329</v>
      </c>
      <c r="H67">
        <f t="shared" si="31"/>
        <v>511.50547499999999</v>
      </c>
      <c r="I67">
        <v>0</v>
      </c>
      <c r="J67">
        <v>0</v>
      </c>
      <c r="K67">
        <v>0</v>
      </c>
    </row>
    <row r="68" spans="1:19" x14ac:dyDescent="0.25">
      <c r="C68" t="s">
        <v>111</v>
      </c>
      <c r="D68">
        <f t="shared" si="28"/>
        <v>2084.0109000000002</v>
      </c>
      <c r="E68">
        <v>2062.029</v>
      </c>
      <c r="F68">
        <f t="shared" si="29"/>
        <v>1031.5181500000001</v>
      </c>
      <c r="G68">
        <f t="shared" si="30"/>
        <v>688.01453333333336</v>
      </c>
      <c r="H68">
        <f t="shared" si="31"/>
        <v>516.26272500000005</v>
      </c>
      <c r="I68">
        <v>0</v>
      </c>
      <c r="J68">
        <v>0</v>
      </c>
      <c r="K68">
        <v>0</v>
      </c>
      <c r="S68" t="s">
        <v>157</v>
      </c>
    </row>
    <row r="69" spans="1:19" x14ac:dyDescent="0.25">
      <c r="C69" t="s">
        <v>153</v>
      </c>
      <c r="D69">
        <f t="shared" si="28"/>
        <v>1677.8306</v>
      </c>
      <c r="E69">
        <v>1655.8487</v>
      </c>
      <c r="F69">
        <f t="shared" si="29"/>
        <v>828.428</v>
      </c>
      <c r="G69">
        <f t="shared" si="30"/>
        <v>552.62109999999996</v>
      </c>
      <c r="H69">
        <f t="shared" si="31"/>
        <v>414.71764999999999</v>
      </c>
      <c r="I69">
        <v>0</v>
      </c>
      <c r="J69">
        <v>0</v>
      </c>
      <c r="K69">
        <v>0</v>
      </c>
    </row>
    <row r="70" spans="1:19" x14ac:dyDescent="0.25">
      <c r="C70" t="s">
        <v>152</v>
      </c>
      <c r="D70">
        <f t="shared" si="28"/>
        <v>1707.8411000000001</v>
      </c>
      <c r="E70">
        <v>1685.8592000000001</v>
      </c>
      <c r="F70">
        <f t="shared" si="29"/>
        <v>843.43325000000004</v>
      </c>
      <c r="G70">
        <f t="shared" si="30"/>
        <v>562.62459999999999</v>
      </c>
      <c r="H70">
        <f t="shared" si="31"/>
        <v>422.22027500000002</v>
      </c>
      <c r="I70">
        <v>0</v>
      </c>
      <c r="J70">
        <v>0</v>
      </c>
      <c r="K70">
        <v>0</v>
      </c>
    </row>
  </sheetData>
  <autoFilter ref="A1:P1" xr:uid="{BCDF71EC-E688-4FB5-A472-C08A93821269}">
    <sortState xmlns:xlrd2="http://schemas.microsoft.com/office/spreadsheetml/2017/richdata2" ref="A2:P55">
      <sortCondition ref="E1"/>
    </sortState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2C3E9-80B5-4AD0-BB87-D8B256A59B2E}">
  <dimension ref="A1:J276"/>
  <sheetViews>
    <sheetView tabSelected="1" workbookViewId="0">
      <pane ySplit="1" topLeftCell="A70" activePane="bottomLeft" state="frozen"/>
      <selection pane="bottomLeft" activeCell="H72" sqref="H72"/>
    </sheetView>
  </sheetViews>
  <sheetFormatPr defaultColWidth="8.75" defaultRowHeight="16.5" x14ac:dyDescent="0.25"/>
  <cols>
    <col min="1" max="1" width="11.375" customWidth="1"/>
    <col min="8" max="8" width="15.75" customWidth="1"/>
    <col min="9" max="9" width="9.125" bestFit="1" customWidth="1"/>
  </cols>
  <sheetData>
    <row r="1" spans="1:10" x14ac:dyDescent="0.25">
      <c r="A1" t="s">
        <v>114</v>
      </c>
      <c r="B1" t="s">
        <v>177</v>
      </c>
      <c r="C1" t="s">
        <v>302</v>
      </c>
      <c r="D1" t="s">
        <v>115</v>
      </c>
      <c r="E1" t="s">
        <v>116</v>
      </c>
      <c r="F1" t="s">
        <v>135</v>
      </c>
      <c r="G1" t="s">
        <v>134</v>
      </c>
      <c r="H1" t="s">
        <v>178</v>
      </c>
      <c r="I1" t="s">
        <v>179</v>
      </c>
      <c r="J1" t="s">
        <v>14</v>
      </c>
    </row>
    <row r="2" spans="1:10" x14ac:dyDescent="0.25">
      <c r="A2" t="s">
        <v>75</v>
      </c>
      <c r="B2">
        <v>5196</v>
      </c>
      <c r="C2">
        <v>1</v>
      </c>
      <c r="D2">
        <v>1</v>
      </c>
      <c r="E2">
        <v>0</v>
      </c>
      <c r="F2" t="s">
        <v>83</v>
      </c>
      <c r="G2">
        <v>1</v>
      </c>
      <c r="J2" t="s">
        <v>205</v>
      </c>
    </row>
    <row r="3" spans="1:10" x14ac:dyDescent="0.25">
      <c r="A3" t="s">
        <v>75</v>
      </c>
      <c r="B3">
        <v>6007</v>
      </c>
      <c r="C3">
        <v>2</v>
      </c>
      <c r="D3">
        <v>1</v>
      </c>
      <c r="E3">
        <v>0</v>
      </c>
      <c r="F3" t="s">
        <v>83</v>
      </c>
      <c r="G3">
        <v>2</v>
      </c>
    </row>
    <row r="4" spans="1:10" x14ac:dyDescent="0.25">
      <c r="A4" t="s">
        <v>75</v>
      </c>
      <c r="B4">
        <v>6163</v>
      </c>
      <c r="C4">
        <v>2</v>
      </c>
      <c r="D4">
        <v>1</v>
      </c>
      <c r="E4">
        <v>0</v>
      </c>
      <c r="F4" t="s">
        <v>83</v>
      </c>
      <c r="G4">
        <v>2</v>
      </c>
    </row>
    <row r="5" spans="1:10" x14ac:dyDescent="0.25">
      <c r="A5" t="s">
        <v>75</v>
      </c>
      <c r="B5">
        <v>6323</v>
      </c>
      <c r="C5">
        <v>2</v>
      </c>
      <c r="D5">
        <v>1</v>
      </c>
      <c r="E5">
        <v>0</v>
      </c>
      <c r="F5" t="s">
        <v>83</v>
      </c>
      <c r="G5">
        <v>2</v>
      </c>
    </row>
    <row r="6" spans="1:10" x14ac:dyDescent="0.25">
      <c r="A6" t="s">
        <v>75</v>
      </c>
      <c r="B6">
        <v>6471</v>
      </c>
      <c r="C6">
        <v>3</v>
      </c>
      <c r="D6">
        <v>1</v>
      </c>
      <c r="E6">
        <v>0</v>
      </c>
      <c r="F6" t="s">
        <v>83</v>
      </c>
      <c r="G6">
        <v>2</v>
      </c>
      <c r="J6" t="s">
        <v>206</v>
      </c>
    </row>
    <row r="7" spans="1:10" x14ac:dyDescent="0.25">
      <c r="A7" t="s">
        <v>75</v>
      </c>
      <c r="B7">
        <v>6623</v>
      </c>
      <c r="C7">
        <v>3</v>
      </c>
      <c r="D7">
        <v>1</v>
      </c>
      <c r="E7">
        <v>0</v>
      </c>
      <c r="F7" t="s">
        <v>83</v>
      </c>
      <c r="G7">
        <v>2</v>
      </c>
      <c r="J7" t="s">
        <v>206</v>
      </c>
    </row>
    <row r="8" spans="1:10" x14ac:dyDescent="0.25">
      <c r="A8" t="s">
        <v>75</v>
      </c>
      <c r="B8">
        <v>7198</v>
      </c>
      <c r="C8">
        <v>4</v>
      </c>
      <c r="D8">
        <v>1</v>
      </c>
      <c r="E8">
        <v>0</v>
      </c>
      <c r="F8" t="s">
        <v>83</v>
      </c>
      <c r="G8">
        <v>2</v>
      </c>
      <c r="J8" t="s">
        <v>206</v>
      </c>
    </row>
    <row r="9" spans="1:10" x14ac:dyDescent="0.25">
      <c r="A9" t="s">
        <v>75</v>
      </c>
      <c r="B9">
        <v>7264</v>
      </c>
      <c r="C9">
        <v>4</v>
      </c>
      <c r="D9">
        <v>1</v>
      </c>
      <c r="E9">
        <v>0</v>
      </c>
      <c r="F9" t="s">
        <v>83</v>
      </c>
      <c r="G9">
        <v>2</v>
      </c>
      <c r="J9" t="s">
        <v>206</v>
      </c>
    </row>
    <row r="10" spans="1:10" x14ac:dyDescent="0.25">
      <c r="A10" t="s">
        <v>75</v>
      </c>
      <c r="B10">
        <v>7352</v>
      </c>
      <c r="C10">
        <v>4</v>
      </c>
      <c r="D10">
        <v>1</v>
      </c>
      <c r="E10">
        <v>0</v>
      </c>
      <c r="F10" t="s">
        <v>83</v>
      </c>
      <c r="G10">
        <v>2</v>
      </c>
      <c r="J10" t="s">
        <v>206</v>
      </c>
    </row>
    <row r="11" spans="1:10" x14ac:dyDescent="0.25">
      <c r="A11" t="s">
        <v>75</v>
      </c>
      <c r="B11">
        <v>7809</v>
      </c>
      <c r="C11">
        <v>4</v>
      </c>
      <c r="D11">
        <v>1</v>
      </c>
      <c r="E11">
        <v>0</v>
      </c>
      <c r="F11" t="s">
        <v>83</v>
      </c>
      <c r="G11">
        <v>2</v>
      </c>
      <c r="J11" t="s">
        <v>206</v>
      </c>
    </row>
    <row r="12" spans="1:10" x14ac:dyDescent="0.25">
      <c r="A12" t="s">
        <v>75</v>
      </c>
      <c r="B12">
        <v>8132</v>
      </c>
      <c r="C12">
        <v>5</v>
      </c>
      <c r="D12">
        <v>1</v>
      </c>
      <c r="E12">
        <v>0</v>
      </c>
      <c r="F12" t="s">
        <v>83</v>
      </c>
      <c r="G12">
        <v>2</v>
      </c>
      <c r="J12" t="s">
        <v>206</v>
      </c>
    </row>
    <row r="13" spans="1:10" x14ac:dyDescent="0.25">
      <c r="A13" t="s">
        <v>91</v>
      </c>
      <c r="B13">
        <v>5152</v>
      </c>
      <c r="C13">
        <v>1</v>
      </c>
      <c r="D13">
        <v>1</v>
      </c>
      <c r="E13">
        <v>0</v>
      </c>
      <c r="F13" t="s">
        <v>83</v>
      </c>
    </row>
    <row r="14" spans="1:10" x14ac:dyDescent="0.25">
      <c r="A14" t="s">
        <v>91</v>
      </c>
      <c r="B14">
        <v>5489</v>
      </c>
      <c r="C14">
        <v>1</v>
      </c>
      <c r="D14">
        <v>1</v>
      </c>
      <c r="E14">
        <v>0</v>
      </c>
      <c r="F14" t="s">
        <v>83</v>
      </c>
    </row>
    <row r="15" spans="1:10" x14ac:dyDescent="0.25">
      <c r="A15" t="s">
        <v>91</v>
      </c>
      <c r="B15">
        <v>5587</v>
      </c>
      <c r="C15">
        <v>1</v>
      </c>
      <c r="D15">
        <v>1</v>
      </c>
      <c r="E15">
        <v>0</v>
      </c>
      <c r="F15" t="s">
        <v>83</v>
      </c>
    </row>
    <row r="16" spans="1:10" x14ac:dyDescent="0.25">
      <c r="A16" t="s">
        <v>91</v>
      </c>
      <c r="B16">
        <v>5756</v>
      </c>
      <c r="C16">
        <v>1</v>
      </c>
      <c r="D16">
        <v>1</v>
      </c>
      <c r="E16">
        <v>0</v>
      </c>
      <c r="F16" t="s">
        <v>83</v>
      </c>
    </row>
    <row r="17" spans="1:10" x14ac:dyDescent="0.25">
      <c r="A17" t="s">
        <v>208</v>
      </c>
      <c r="B17">
        <v>12164</v>
      </c>
      <c r="C17">
        <v>1</v>
      </c>
      <c r="D17">
        <v>1</v>
      </c>
      <c r="E17">
        <v>0</v>
      </c>
      <c r="F17" t="s">
        <v>83</v>
      </c>
    </row>
    <row r="18" spans="1:10" x14ac:dyDescent="0.25">
      <c r="A18" t="s">
        <v>208</v>
      </c>
      <c r="B18">
        <v>12334</v>
      </c>
      <c r="C18">
        <v>1</v>
      </c>
      <c r="D18">
        <v>1</v>
      </c>
      <c r="E18">
        <v>0</v>
      </c>
      <c r="F18" t="s">
        <v>83</v>
      </c>
    </row>
    <row r="19" spans="1:10" x14ac:dyDescent="0.25">
      <c r="A19" t="s">
        <v>208</v>
      </c>
      <c r="B19">
        <v>12506</v>
      </c>
      <c r="C19">
        <v>1</v>
      </c>
      <c r="D19">
        <v>1</v>
      </c>
      <c r="E19">
        <v>0</v>
      </c>
      <c r="F19" t="s">
        <v>83</v>
      </c>
      <c r="J19" s="6">
        <v>1000000</v>
      </c>
    </row>
    <row r="20" spans="1:10" x14ac:dyDescent="0.25">
      <c r="A20" t="s">
        <v>208</v>
      </c>
      <c r="B20">
        <v>12670</v>
      </c>
      <c r="C20">
        <v>1</v>
      </c>
      <c r="D20">
        <v>1</v>
      </c>
      <c r="E20">
        <v>0</v>
      </c>
      <c r="F20" t="s">
        <v>83</v>
      </c>
      <c r="J20" s="6">
        <v>100000</v>
      </c>
    </row>
    <row r="21" spans="1:10" x14ac:dyDescent="0.25">
      <c r="A21" t="s">
        <v>132</v>
      </c>
      <c r="B21">
        <v>7765</v>
      </c>
      <c r="C21">
        <v>1</v>
      </c>
      <c r="D21">
        <v>1</v>
      </c>
      <c r="E21">
        <v>0</v>
      </c>
      <c r="F21" t="s">
        <v>83</v>
      </c>
    </row>
    <row r="22" spans="1:10" x14ac:dyDescent="0.25">
      <c r="A22" t="s">
        <v>132</v>
      </c>
      <c r="B22">
        <v>7925</v>
      </c>
      <c r="C22">
        <v>1</v>
      </c>
      <c r="D22">
        <v>1</v>
      </c>
      <c r="E22">
        <v>0</v>
      </c>
      <c r="F22" t="s">
        <v>83</v>
      </c>
    </row>
    <row r="23" spans="1:10" x14ac:dyDescent="0.25">
      <c r="A23" t="s">
        <v>132</v>
      </c>
      <c r="B23">
        <v>8091</v>
      </c>
      <c r="C23">
        <v>1</v>
      </c>
      <c r="D23">
        <v>1</v>
      </c>
      <c r="E23">
        <v>0</v>
      </c>
      <c r="F23" t="s">
        <v>83</v>
      </c>
    </row>
    <row r="24" spans="1:10" x14ac:dyDescent="0.25">
      <c r="A24" t="s">
        <v>96</v>
      </c>
      <c r="B24">
        <v>7371</v>
      </c>
      <c r="C24">
        <v>1</v>
      </c>
      <c r="D24">
        <v>1</v>
      </c>
      <c r="E24">
        <v>0</v>
      </c>
      <c r="F24" t="s">
        <v>83</v>
      </c>
      <c r="G24">
        <v>1</v>
      </c>
      <c r="J24" t="s">
        <v>209</v>
      </c>
    </row>
    <row r="25" spans="1:10" x14ac:dyDescent="0.25">
      <c r="A25" t="s">
        <v>96</v>
      </c>
      <c r="B25">
        <v>7394</v>
      </c>
      <c r="C25">
        <v>1</v>
      </c>
      <c r="D25">
        <v>1</v>
      </c>
      <c r="E25">
        <v>0</v>
      </c>
      <c r="F25" t="s">
        <v>83</v>
      </c>
      <c r="G25">
        <v>1</v>
      </c>
      <c r="J25" t="s">
        <v>209</v>
      </c>
    </row>
    <row r="26" spans="1:10" x14ac:dyDescent="0.25">
      <c r="A26" t="s">
        <v>132</v>
      </c>
      <c r="B26">
        <v>7798</v>
      </c>
      <c r="C26">
        <v>2</v>
      </c>
      <c r="D26">
        <v>1</v>
      </c>
      <c r="E26">
        <v>0</v>
      </c>
      <c r="F26" t="s">
        <v>149</v>
      </c>
      <c r="G26">
        <v>2</v>
      </c>
      <c r="J26" t="s">
        <v>210</v>
      </c>
    </row>
    <row r="27" spans="1:10" x14ac:dyDescent="0.25">
      <c r="A27" t="s">
        <v>132</v>
      </c>
      <c r="B27">
        <v>8075</v>
      </c>
      <c r="C27">
        <v>2</v>
      </c>
      <c r="D27">
        <v>1</v>
      </c>
      <c r="E27">
        <v>0</v>
      </c>
      <c r="F27" t="s">
        <v>149</v>
      </c>
      <c r="G27">
        <v>2</v>
      </c>
      <c r="J27" t="s">
        <v>210</v>
      </c>
    </row>
    <row r="28" spans="1:10" x14ac:dyDescent="0.25">
      <c r="A28" t="s">
        <v>132</v>
      </c>
      <c r="B28">
        <v>8109</v>
      </c>
      <c r="C28">
        <v>2</v>
      </c>
      <c r="D28">
        <v>1</v>
      </c>
      <c r="E28">
        <v>0</v>
      </c>
      <c r="F28" t="s">
        <v>149</v>
      </c>
      <c r="G28">
        <v>2</v>
      </c>
      <c r="J28" t="s">
        <v>210</v>
      </c>
    </row>
    <row r="29" spans="1:10" x14ac:dyDescent="0.25">
      <c r="A29" t="s">
        <v>211</v>
      </c>
      <c r="B29">
        <v>7675</v>
      </c>
      <c r="C29">
        <v>1</v>
      </c>
      <c r="D29">
        <v>1</v>
      </c>
      <c r="E29">
        <v>0</v>
      </c>
      <c r="F29" t="s">
        <v>83</v>
      </c>
      <c r="G29">
        <v>1</v>
      </c>
    </row>
    <row r="30" spans="1:10" x14ac:dyDescent="0.25">
      <c r="A30" t="s">
        <v>211</v>
      </c>
      <c r="B30">
        <v>7831</v>
      </c>
      <c r="C30">
        <v>1</v>
      </c>
      <c r="D30">
        <v>1</v>
      </c>
      <c r="E30">
        <v>0</v>
      </c>
      <c r="F30" t="s">
        <v>83</v>
      </c>
      <c r="G30">
        <v>1</v>
      </c>
    </row>
    <row r="31" spans="1:10" x14ac:dyDescent="0.25">
      <c r="A31" t="s">
        <v>211</v>
      </c>
      <c r="B31">
        <v>8069</v>
      </c>
      <c r="C31">
        <v>2</v>
      </c>
      <c r="D31">
        <v>1</v>
      </c>
      <c r="E31">
        <v>0</v>
      </c>
      <c r="F31" t="s">
        <v>83</v>
      </c>
      <c r="G31">
        <v>2</v>
      </c>
      <c r="J31" t="s">
        <v>212</v>
      </c>
    </row>
    <row r="32" spans="1:10" x14ac:dyDescent="0.25">
      <c r="A32" t="s">
        <v>211</v>
      </c>
      <c r="B32">
        <v>8133</v>
      </c>
      <c r="C32">
        <v>2</v>
      </c>
      <c r="D32">
        <v>1</v>
      </c>
      <c r="E32">
        <v>0</v>
      </c>
      <c r="F32" t="s">
        <v>83</v>
      </c>
      <c r="G32">
        <v>2</v>
      </c>
      <c r="J32" t="s">
        <v>212</v>
      </c>
    </row>
    <row r="33" spans="1:10" x14ac:dyDescent="0.25">
      <c r="A33" t="s">
        <v>211</v>
      </c>
      <c r="B33">
        <v>8230</v>
      </c>
      <c r="C33">
        <v>2</v>
      </c>
      <c r="D33">
        <v>1</v>
      </c>
      <c r="E33">
        <v>0</v>
      </c>
      <c r="F33" t="s">
        <v>83</v>
      </c>
      <c r="G33">
        <v>2</v>
      </c>
      <c r="J33" t="s">
        <v>212</v>
      </c>
    </row>
    <row r="34" spans="1:10" x14ac:dyDescent="0.25">
      <c r="A34" t="s">
        <v>211</v>
      </c>
      <c r="B34">
        <v>8485</v>
      </c>
      <c r="C34">
        <v>2</v>
      </c>
      <c r="D34">
        <v>1</v>
      </c>
      <c r="E34">
        <v>0</v>
      </c>
      <c r="F34" t="s">
        <v>83</v>
      </c>
      <c r="G34">
        <v>2</v>
      </c>
      <c r="J34" t="s">
        <v>212</v>
      </c>
    </row>
    <row r="35" spans="1:10" x14ac:dyDescent="0.25">
      <c r="A35" t="s">
        <v>211</v>
      </c>
      <c r="B35">
        <v>8648</v>
      </c>
      <c r="C35">
        <v>2</v>
      </c>
      <c r="D35">
        <v>1</v>
      </c>
      <c r="E35">
        <v>0</v>
      </c>
      <c r="F35" t="s">
        <v>83</v>
      </c>
      <c r="G35">
        <v>2</v>
      </c>
      <c r="J35" t="s">
        <v>212</v>
      </c>
    </row>
    <row r="36" spans="1:10" x14ac:dyDescent="0.25">
      <c r="A36" t="s">
        <v>211</v>
      </c>
      <c r="B36">
        <v>9162</v>
      </c>
      <c r="C36">
        <v>2</v>
      </c>
      <c r="D36">
        <v>1</v>
      </c>
      <c r="E36">
        <v>0</v>
      </c>
      <c r="F36" t="s">
        <v>83</v>
      </c>
      <c r="G36">
        <v>2</v>
      </c>
      <c r="J36" t="s">
        <v>212</v>
      </c>
    </row>
    <row r="37" spans="1:10" x14ac:dyDescent="0.25">
      <c r="A37" t="s">
        <v>22</v>
      </c>
      <c r="B37">
        <v>14817</v>
      </c>
      <c r="C37">
        <v>1</v>
      </c>
      <c r="D37">
        <v>1</v>
      </c>
      <c r="E37">
        <v>0</v>
      </c>
      <c r="F37" t="s">
        <v>83</v>
      </c>
      <c r="G37">
        <v>1</v>
      </c>
      <c r="J37">
        <v>280</v>
      </c>
    </row>
    <row r="38" spans="1:10" x14ac:dyDescent="0.25">
      <c r="A38" t="s">
        <v>22</v>
      </c>
      <c r="B38">
        <v>14985</v>
      </c>
      <c r="C38">
        <v>1</v>
      </c>
      <c r="D38">
        <v>1</v>
      </c>
      <c r="E38">
        <v>0</v>
      </c>
      <c r="F38" t="s">
        <v>83</v>
      </c>
      <c r="G38">
        <v>1</v>
      </c>
      <c r="J38">
        <v>280</v>
      </c>
    </row>
    <row r="39" spans="1:10" x14ac:dyDescent="0.25">
      <c r="A39" t="s">
        <v>22</v>
      </c>
      <c r="B39">
        <v>15151</v>
      </c>
      <c r="C39">
        <v>1</v>
      </c>
      <c r="D39">
        <v>1</v>
      </c>
      <c r="E39">
        <v>0</v>
      </c>
      <c r="F39" t="s">
        <v>83</v>
      </c>
      <c r="G39">
        <v>1</v>
      </c>
      <c r="J39">
        <v>280</v>
      </c>
    </row>
    <row r="40" spans="1:10" x14ac:dyDescent="0.25">
      <c r="A40" t="s">
        <v>22</v>
      </c>
      <c r="B40">
        <v>15316</v>
      </c>
      <c r="C40">
        <v>1</v>
      </c>
      <c r="D40">
        <v>1</v>
      </c>
      <c r="E40">
        <v>0</v>
      </c>
      <c r="F40" t="s">
        <v>83</v>
      </c>
      <c r="G40">
        <v>1</v>
      </c>
      <c r="J40">
        <v>280</v>
      </c>
    </row>
    <row r="41" spans="1:10" x14ac:dyDescent="0.25">
      <c r="A41" t="s">
        <v>22</v>
      </c>
      <c r="B41">
        <v>15486</v>
      </c>
      <c r="C41">
        <v>1</v>
      </c>
      <c r="D41">
        <v>1</v>
      </c>
      <c r="E41">
        <v>0</v>
      </c>
      <c r="F41" t="s">
        <v>83</v>
      </c>
      <c r="G41">
        <v>1</v>
      </c>
      <c r="J41">
        <v>280</v>
      </c>
    </row>
    <row r="42" spans="1:10" x14ac:dyDescent="0.25">
      <c r="A42" t="s">
        <v>22</v>
      </c>
      <c r="B42">
        <v>15649</v>
      </c>
      <c r="C42">
        <v>1</v>
      </c>
      <c r="D42">
        <v>1</v>
      </c>
      <c r="E42">
        <v>0</v>
      </c>
      <c r="F42" t="s">
        <v>83</v>
      </c>
      <c r="G42">
        <v>1</v>
      </c>
      <c r="J42">
        <v>280</v>
      </c>
    </row>
    <row r="43" spans="1:10" x14ac:dyDescent="0.25">
      <c r="A43" t="s">
        <v>22</v>
      </c>
      <c r="B43">
        <v>15881</v>
      </c>
      <c r="C43">
        <v>1</v>
      </c>
      <c r="D43">
        <v>1</v>
      </c>
      <c r="E43">
        <v>0</v>
      </c>
      <c r="F43" t="s">
        <v>83</v>
      </c>
      <c r="G43">
        <v>1</v>
      </c>
      <c r="J43">
        <v>280</v>
      </c>
    </row>
    <row r="44" spans="1:10" x14ac:dyDescent="0.25">
      <c r="A44" t="s">
        <v>22</v>
      </c>
      <c r="B44">
        <v>16049</v>
      </c>
      <c r="C44">
        <v>1</v>
      </c>
      <c r="D44">
        <v>1</v>
      </c>
      <c r="E44">
        <v>0</v>
      </c>
      <c r="F44" t="s">
        <v>83</v>
      </c>
      <c r="G44">
        <v>1</v>
      </c>
      <c r="J44">
        <v>280</v>
      </c>
    </row>
    <row r="45" spans="1:10" x14ac:dyDescent="0.25">
      <c r="A45" t="s">
        <v>22</v>
      </c>
      <c r="B45">
        <v>16243</v>
      </c>
      <c r="C45">
        <v>2</v>
      </c>
      <c r="D45">
        <v>1</v>
      </c>
      <c r="E45">
        <v>0</v>
      </c>
      <c r="F45" t="s">
        <v>83</v>
      </c>
      <c r="G45">
        <v>2</v>
      </c>
      <c r="J45">
        <v>294</v>
      </c>
    </row>
    <row r="46" spans="1:10" x14ac:dyDescent="0.25">
      <c r="A46" t="s">
        <v>22</v>
      </c>
      <c r="B46">
        <v>16403</v>
      </c>
      <c r="C46">
        <v>2</v>
      </c>
      <c r="D46">
        <v>1</v>
      </c>
      <c r="E46">
        <v>0</v>
      </c>
      <c r="F46" t="s">
        <v>83</v>
      </c>
      <c r="G46">
        <v>2</v>
      </c>
      <c r="J46">
        <v>294</v>
      </c>
    </row>
    <row r="47" spans="1:10" x14ac:dyDescent="0.25">
      <c r="A47" t="s">
        <v>22</v>
      </c>
      <c r="B47">
        <v>16604</v>
      </c>
      <c r="C47">
        <v>2</v>
      </c>
      <c r="D47">
        <v>1</v>
      </c>
      <c r="E47">
        <v>0</v>
      </c>
      <c r="F47" t="s">
        <v>83</v>
      </c>
      <c r="G47">
        <v>2</v>
      </c>
      <c r="J47">
        <v>294</v>
      </c>
    </row>
    <row r="48" spans="1:10" x14ac:dyDescent="0.25">
      <c r="A48" t="s">
        <v>25</v>
      </c>
      <c r="B48">
        <v>9732</v>
      </c>
      <c r="C48">
        <v>1</v>
      </c>
      <c r="D48">
        <v>1</v>
      </c>
      <c r="E48">
        <v>0</v>
      </c>
      <c r="F48" t="s">
        <v>83</v>
      </c>
      <c r="G48">
        <v>1</v>
      </c>
      <c r="J48">
        <v>280</v>
      </c>
    </row>
    <row r="49" spans="1:10" x14ac:dyDescent="0.25">
      <c r="A49" t="s">
        <v>25</v>
      </c>
      <c r="B49">
        <v>9889</v>
      </c>
      <c r="C49">
        <v>1</v>
      </c>
      <c r="D49">
        <v>1</v>
      </c>
      <c r="E49">
        <v>0</v>
      </c>
      <c r="F49" t="s">
        <v>83</v>
      </c>
      <c r="G49">
        <v>1</v>
      </c>
      <c r="J49">
        <v>280</v>
      </c>
    </row>
    <row r="50" spans="1:10" x14ac:dyDescent="0.25">
      <c r="A50" t="s">
        <v>25</v>
      </c>
      <c r="B50">
        <v>10056</v>
      </c>
      <c r="C50">
        <v>1</v>
      </c>
      <c r="D50">
        <v>1</v>
      </c>
      <c r="E50">
        <v>0</v>
      </c>
      <c r="F50" t="s">
        <v>83</v>
      </c>
      <c r="G50">
        <v>1</v>
      </c>
      <c r="J50">
        <v>280</v>
      </c>
    </row>
    <row r="51" spans="1:10" x14ac:dyDescent="0.25">
      <c r="A51" t="s">
        <v>25</v>
      </c>
      <c r="B51">
        <v>10216</v>
      </c>
      <c r="C51">
        <v>1</v>
      </c>
      <c r="D51">
        <v>1</v>
      </c>
      <c r="E51">
        <v>0</v>
      </c>
      <c r="F51" t="s">
        <v>83</v>
      </c>
      <c r="G51">
        <v>1</v>
      </c>
      <c r="J51">
        <v>280</v>
      </c>
    </row>
    <row r="52" spans="1:10" x14ac:dyDescent="0.25">
      <c r="A52" t="s">
        <v>25</v>
      </c>
      <c r="B52">
        <v>10382</v>
      </c>
      <c r="C52">
        <v>1</v>
      </c>
      <c r="D52">
        <v>1</v>
      </c>
      <c r="E52">
        <v>0</v>
      </c>
      <c r="F52" t="s">
        <v>83</v>
      </c>
      <c r="G52">
        <v>1</v>
      </c>
      <c r="J52">
        <v>280</v>
      </c>
    </row>
    <row r="53" spans="1:10" x14ac:dyDescent="0.25">
      <c r="A53" t="s">
        <v>25</v>
      </c>
      <c r="B53">
        <v>10547</v>
      </c>
      <c r="C53">
        <v>1</v>
      </c>
      <c r="D53">
        <v>1</v>
      </c>
      <c r="E53">
        <v>0</v>
      </c>
      <c r="F53" t="s">
        <v>83</v>
      </c>
      <c r="G53">
        <v>1</v>
      </c>
      <c r="J53">
        <v>280</v>
      </c>
    </row>
    <row r="54" spans="1:10" x14ac:dyDescent="0.25">
      <c r="A54" t="s">
        <v>25</v>
      </c>
      <c r="B54">
        <v>10712</v>
      </c>
      <c r="C54">
        <v>1</v>
      </c>
      <c r="D54">
        <v>1</v>
      </c>
      <c r="E54">
        <v>0</v>
      </c>
      <c r="F54" t="s">
        <v>83</v>
      </c>
      <c r="G54">
        <v>1</v>
      </c>
      <c r="J54">
        <v>280</v>
      </c>
    </row>
    <row r="55" spans="1:10" x14ac:dyDescent="0.25">
      <c r="A55" t="s">
        <v>25</v>
      </c>
      <c r="B55">
        <v>11462</v>
      </c>
      <c r="C55">
        <v>2</v>
      </c>
      <c r="D55">
        <v>1</v>
      </c>
      <c r="E55">
        <v>0</v>
      </c>
      <c r="F55" t="s">
        <v>83</v>
      </c>
      <c r="G55">
        <v>1</v>
      </c>
      <c r="J55">
        <v>294</v>
      </c>
    </row>
    <row r="56" spans="1:10" x14ac:dyDescent="0.25">
      <c r="A56" t="s">
        <v>25</v>
      </c>
      <c r="B56">
        <v>11607</v>
      </c>
      <c r="C56">
        <v>2</v>
      </c>
      <c r="D56">
        <v>1</v>
      </c>
      <c r="E56">
        <v>0</v>
      </c>
      <c r="F56" t="s">
        <v>83</v>
      </c>
      <c r="G56">
        <v>1</v>
      </c>
      <c r="J56">
        <v>294</v>
      </c>
    </row>
    <row r="57" spans="1:10" x14ac:dyDescent="0.25">
      <c r="A57" t="s">
        <v>25</v>
      </c>
      <c r="B57">
        <v>11769</v>
      </c>
      <c r="C57">
        <v>2</v>
      </c>
      <c r="D57">
        <v>1</v>
      </c>
      <c r="E57">
        <v>0</v>
      </c>
      <c r="F57" t="s">
        <v>83</v>
      </c>
      <c r="G57">
        <v>1</v>
      </c>
      <c r="J57">
        <v>294</v>
      </c>
    </row>
    <row r="58" spans="1:10" x14ac:dyDescent="0.25">
      <c r="A58" t="s">
        <v>25</v>
      </c>
      <c r="B58">
        <v>11932</v>
      </c>
      <c r="C58">
        <v>2</v>
      </c>
      <c r="D58">
        <v>1</v>
      </c>
      <c r="E58">
        <v>0</v>
      </c>
      <c r="F58" t="s">
        <v>83</v>
      </c>
      <c r="G58">
        <v>1</v>
      </c>
      <c r="J58">
        <v>294</v>
      </c>
    </row>
    <row r="59" spans="1:10" x14ac:dyDescent="0.25">
      <c r="A59" t="s">
        <v>213</v>
      </c>
      <c r="B59">
        <v>12198</v>
      </c>
      <c r="C59">
        <v>3</v>
      </c>
      <c r="D59">
        <v>1</v>
      </c>
      <c r="E59">
        <v>0</v>
      </c>
      <c r="F59" t="s">
        <v>83</v>
      </c>
      <c r="G59">
        <v>1</v>
      </c>
      <c r="J59">
        <v>280</v>
      </c>
    </row>
    <row r="60" spans="1:10" x14ac:dyDescent="0.25">
      <c r="A60" t="s">
        <v>213</v>
      </c>
      <c r="B60">
        <v>12365</v>
      </c>
      <c r="C60">
        <v>3</v>
      </c>
      <c r="D60">
        <v>1</v>
      </c>
      <c r="E60">
        <v>0</v>
      </c>
      <c r="F60" t="s">
        <v>83</v>
      </c>
      <c r="G60">
        <v>1</v>
      </c>
      <c r="J60">
        <v>280</v>
      </c>
    </row>
    <row r="61" spans="1:10" x14ac:dyDescent="0.25">
      <c r="A61" t="s">
        <v>213</v>
      </c>
      <c r="B61">
        <v>12527</v>
      </c>
      <c r="C61">
        <v>3</v>
      </c>
      <c r="D61">
        <v>1</v>
      </c>
      <c r="E61">
        <v>0</v>
      </c>
      <c r="F61" t="s">
        <v>83</v>
      </c>
      <c r="G61">
        <v>1</v>
      </c>
      <c r="J61">
        <v>280</v>
      </c>
    </row>
    <row r="62" spans="1:10" x14ac:dyDescent="0.25">
      <c r="A62" t="s">
        <v>213</v>
      </c>
      <c r="B62">
        <v>12696</v>
      </c>
      <c r="C62">
        <v>3</v>
      </c>
      <c r="D62">
        <v>1</v>
      </c>
      <c r="E62">
        <v>0</v>
      </c>
      <c r="F62" t="s">
        <v>83</v>
      </c>
      <c r="G62">
        <v>1</v>
      </c>
      <c r="J62">
        <v>280</v>
      </c>
    </row>
    <row r="63" spans="1:10" x14ac:dyDescent="0.25">
      <c r="A63" t="s">
        <v>213</v>
      </c>
      <c r="B63">
        <v>12857</v>
      </c>
      <c r="C63">
        <v>3</v>
      </c>
      <c r="D63">
        <v>1</v>
      </c>
      <c r="E63">
        <v>0</v>
      </c>
      <c r="F63" t="s">
        <v>83</v>
      </c>
      <c r="G63">
        <v>1</v>
      </c>
      <c r="J63">
        <v>280</v>
      </c>
    </row>
    <row r="64" spans="1:10" x14ac:dyDescent="0.25">
      <c r="A64" t="s">
        <v>213</v>
      </c>
      <c r="B64">
        <v>13089</v>
      </c>
      <c r="C64">
        <v>3</v>
      </c>
      <c r="D64">
        <v>1</v>
      </c>
      <c r="E64">
        <v>0</v>
      </c>
      <c r="F64" t="s">
        <v>83</v>
      </c>
      <c r="G64">
        <v>1</v>
      </c>
      <c r="J64">
        <v>280</v>
      </c>
    </row>
    <row r="65" spans="1:10" x14ac:dyDescent="0.25">
      <c r="A65" t="s">
        <v>213</v>
      </c>
      <c r="B65">
        <v>13246</v>
      </c>
      <c r="C65">
        <v>3</v>
      </c>
      <c r="D65">
        <v>1</v>
      </c>
      <c r="E65">
        <v>0</v>
      </c>
      <c r="F65" t="s">
        <v>83</v>
      </c>
      <c r="G65">
        <v>1</v>
      </c>
      <c r="J65">
        <v>280</v>
      </c>
    </row>
    <row r="66" spans="1:10" x14ac:dyDescent="0.25">
      <c r="A66" t="s">
        <v>213</v>
      </c>
      <c r="B66">
        <v>13281</v>
      </c>
      <c r="C66">
        <v>3</v>
      </c>
      <c r="D66">
        <v>1</v>
      </c>
      <c r="E66">
        <v>0</v>
      </c>
      <c r="F66" t="s">
        <v>83</v>
      </c>
      <c r="G66">
        <v>1</v>
      </c>
      <c r="J66">
        <v>280</v>
      </c>
    </row>
    <row r="67" spans="1:10" x14ac:dyDescent="0.25">
      <c r="A67" t="s">
        <v>213</v>
      </c>
      <c r="B67">
        <v>13450</v>
      </c>
      <c r="C67">
        <v>3</v>
      </c>
      <c r="D67">
        <v>1</v>
      </c>
      <c r="E67">
        <v>0</v>
      </c>
      <c r="F67" t="s">
        <v>83</v>
      </c>
      <c r="G67">
        <v>1</v>
      </c>
      <c r="J67">
        <v>280</v>
      </c>
    </row>
    <row r="68" spans="1:10" x14ac:dyDescent="0.25">
      <c r="A68" t="s">
        <v>139</v>
      </c>
      <c r="B68">
        <v>8863</v>
      </c>
      <c r="C68">
        <v>1</v>
      </c>
      <c r="D68">
        <v>1</v>
      </c>
      <c r="E68">
        <v>0</v>
      </c>
      <c r="F68" t="s">
        <v>83</v>
      </c>
      <c r="G68">
        <v>1</v>
      </c>
      <c r="J68" t="s">
        <v>216</v>
      </c>
    </row>
    <row r="69" spans="1:10" x14ac:dyDescent="0.25">
      <c r="A69" t="s">
        <v>26</v>
      </c>
      <c r="B69">
        <v>9734</v>
      </c>
      <c r="C69">
        <v>2</v>
      </c>
      <c r="D69">
        <v>1</v>
      </c>
      <c r="E69">
        <v>0</v>
      </c>
      <c r="F69" t="s">
        <v>83</v>
      </c>
      <c r="G69">
        <v>1</v>
      </c>
      <c r="J69">
        <v>280</v>
      </c>
    </row>
    <row r="70" spans="1:10" x14ac:dyDescent="0.25">
      <c r="A70" t="s">
        <v>26</v>
      </c>
      <c r="B70">
        <v>9888</v>
      </c>
      <c r="C70">
        <v>2</v>
      </c>
      <c r="D70">
        <v>1</v>
      </c>
      <c r="E70">
        <v>0</v>
      </c>
      <c r="F70" t="s">
        <v>83</v>
      </c>
      <c r="G70">
        <v>1</v>
      </c>
      <c r="J70">
        <v>280</v>
      </c>
    </row>
    <row r="71" spans="1:10" x14ac:dyDescent="0.25">
      <c r="A71" t="s">
        <v>26</v>
      </c>
      <c r="B71">
        <v>10061</v>
      </c>
      <c r="C71">
        <v>2</v>
      </c>
      <c r="D71">
        <v>1</v>
      </c>
      <c r="E71">
        <v>0</v>
      </c>
      <c r="F71" t="s">
        <v>83</v>
      </c>
      <c r="G71">
        <v>1</v>
      </c>
      <c r="J71">
        <v>280</v>
      </c>
    </row>
    <row r="72" spans="1:10" x14ac:dyDescent="0.25">
      <c r="A72" t="s">
        <v>147</v>
      </c>
      <c r="B72">
        <v>10225</v>
      </c>
      <c r="C72">
        <v>3</v>
      </c>
      <c r="D72">
        <v>1</v>
      </c>
      <c r="E72">
        <v>0</v>
      </c>
      <c r="F72" t="s">
        <v>83</v>
      </c>
      <c r="G72">
        <v>2</v>
      </c>
      <c r="J72" t="s">
        <v>217</v>
      </c>
    </row>
    <row r="73" spans="1:10" x14ac:dyDescent="0.25">
      <c r="A73" t="s">
        <v>147</v>
      </c>
      <c r="B73">
        <v>10377</v>
      </c>
      <c r="C73">
        <v>3</v>
      </c>
      <c r="D73">
        <v>1</v>
      </c>
      <c r="E73">
        <v>0</v>
      </c>
      <c r="F73" t="s">
        <v>83</v>
      </c>
      <c r="G73">
        <v>2</v>
      </c>
      <c r="J73" t="s">
        <v>217</v>
      </c>
    </row>
    <row r="74" spans="1:10" x14ac:dyDescent="0.25">
      <c r="A74" t="s">
        <v>147</v>
      </c>
      <c r="B74">
        <v>10541</v>
      </c>
      <c r="C74">
        <v>3</v>
      </c>
      <c r="D74">
        <v>1</v>
      </c>
      <c r="E74">
        <v>0</v>
      </c>
      <c r="F74" t="s">
        <v>83</v>
      </c>
      <c r="G74">
        <v>2</v>
      </c>
      <c r="J74" t="s">
        <v>217</v>
      </c>
    </row>
    <row r="75" spans="1:10" x14ac:dyDescent="0.25">
      <c r="A75" t="s">
        <v>147</v>
      </c>
      <c r="B75">
        <v>10705</v>
      </c>
      <c r="C75">
        <v>3</v>
      </c>
      <c r="D75">
        <v>1</v>
      </c>
      <c r="E75">
        <v>0</v>
      </c>
      <c r="F75" t="s">
        <v>83</v>
      </c>
      <c r="G75">
        <v>2</v>
      </c>
      <c r="J75" t="s">
        <v>217</v>
      </c>
    </row>
    <row r="76" spans="1:10" x14ac:dyDescent="0.25">
      <c r="A76" t="s">
        <v>147</v>
      </c>
      <c r="B76">
        <v>10863</v>
      </c>
      <c r="C76">
        <v>3</v>
      </c>
      <c r="D76">
        <v>1</v>
      </c>
      <c r="E76">
        <v>0</v>
      </c>
      <c r="F76" t="s">
        <v>83</v>
      </c>
      <c r="G76">
        <v>2</v>
      </c>
      <c r="J76" t="s">
        <v>217</v>
      </c>
    </row>
    <row r="77" spans="1:10" x14ac:dyDescent="0.25">
      <c r="A77" t="s">
        <v>26</v>
      </c>
      <c r="B77">
        <v>11541</v>
      </c>
      <c r="C77">
        <v>4</v>
      </c>
      <c r="D77">
        <v>1</v>
      </c>
      <c r="E77">
        <v>0</v>
      </c>
      <c r="F77" t="s">
        <v>83</v>
      </c>
      <c r="G77">
        <v>3</v>
      </c>
      <c r="J77">
        <v>294</v>
      </c>
    </row>
    <row r="78" spans="1:10" x14ac:dyDescent="0.25">
      <c r="A78" t="s">
        <v>26</v>
      </c>
      <c r="B78">
        <v>11704</v>
      </c>
      <c r="C78">
        <v>4</v>
      </c>
      <c r="D78">
        <v>1</v>
      </c>
      <c r="E78">
        <v>0</v>
      </c>
      <c r="F78" t="s">
        <v>83</v>
      </c>
      <c r="G78">
        <v>3</v>
      </c>
      <c r="J78">
        <v>294</v>
      </c>
    </row>
    <row r="79" spans="1:10" x14ac:dyDescent="0.25">
      <c r="A79" t="s">
        <v>218</v>
      </c>
      <c r="B79">
        <v>11870</v>
      </c>
      <c r="C79">
        <v>5</v>
      </c>
      <c r="D79">
        <v>1</v>
      </c>
      <c r="E79">
        <v>0</v>
      </c>
      <c r="F79" t="s">
        <v>83</v>
      </c>
      <c r="G79">
        <v>4</v>
      </c>
      <c r="J79" t="s">
        <v>217</v>
      </c>
    </row>
    <row r="80" spans="1:10" x14ac:dyDescent="0.25">
      <c r="A80" t="s">
        <v>218</v>
      </c>
      <c r="B80">
        <v>12037</v>
      </c>
      <c r="C80">
        <v>5</v>
      </c>
      <c r="D80">
        <v>1</v>
      </c>
      <c r="E80">
        <v>0</v>
      </c>
      <c r="F80" t="s">
        <v>83</v>
      </c>
      <c r="G80">
        <v>4</v>
      </c>
      <c r="J80" t="s">
        <v>217</v>
      </c>
    </row>
    <row r="81" spans="1:10" x14ac:dyDescent="0.25">
      <c r="A81" t="s">
        <v>218</v>
      </c>
      <c r="B81">
        <v>12202</v>
      </c>
      <c r="C81">
        <v>5</v>
      </c>
      <c r="D81">
        <v>1</v>
      </c>
      <c r="E81">
        <v>0</v>
      </c>
      <c r="F81" t="s">
        <v>83</v>
      </c>
      <c r="G81">
        <v>4</v>
      </c>
      <c r="J81" t="s">
        <v>217</v>
      </c>
    </row>
    <row r="82" spans="1:10" x14ac:dyDescent="0.25">
      <c r="A82" t="s">
        <v>218</v>
      </c>
      <c r="B82">
        <v>12371</v>
      </c>
      <c r="C82">
        <v>5</v>
      </c>
      <c r="D82">
        <v>1</v>
      </c>
      <c r="E82">
        <v>0</v>
      </c>
      <c r="F82" t="s">
        <v>83</v>
      </c>
      <c r="G82">
        <v>4</v>
      </c>
      <c r="J82" t="s">
        <v>217</v>
      </c>
    </row>
    <row r="83" spans="1:10" x14ac:dyDescent="0.25">
      <c r="A83" t="s">
        <v>219</v>
      </c>
      <c r="B83">
        <v>12694</v>
      </c>
      <c r="C83">
        <v>6</v>
      </c>
      <c r="D83">
        <v>1</v>
      </c>
      <c r="E83">
        <v>0</v>
      </c>
      <c r="F83" t="s">
        <v>83</v>
      </c>
      <c r="G83">
        <v>5</v>
      </c>
      <c r="J83">
        <v>260</v>
      </c>
    </row>
    <row r="84" spans="1:10" x14ac:dyDescent="0.25">
      <c r="A84" t="s">
        <v>219</v>
      </c>
      <c r="B84">
        <v>12849</v>
      </c>
      <c r="C84">
        <v>6</v>
      </c>
      <c r="D84">
        <v>1</v>
      </c>
      <c r="E84">
        <v>0</v>
      </c>
      <c r="F84" t="s">
        <v>83</v>
      </c>
      <c r="G84">
        <v>5</v>
      </c>
      <c r="J84">
        <v>260</v>
      </c>
    </row>
    <row r="85" spans="1:10" x14ac:dyDescent="0.25">
      <c r="A85" t="s">
        <v>219</v>
      </c>
      <c r="B85">
        <v>13015</v>
      </c>
      <c r="C85">
        <v>6</v>
      </c>
      <c r="D85">
        <v>1</v>
      </c>
      <c r="E85">
        <v>0</v>
      </c>
      <c r="F85" t="s">
        <v>83</v>
      </c>
      <c r="G85">
        <v>5</v>
      </c>
      <c r="J85">
        <v>260</v>
      </c>
    </row>
    <row r="86" spans="1:10" x14ac:dyDescent="0.25">
      <c r="A86" t="s">
        <v>220</v>
      </c>
      <c r="B86">
        <v>13172</v>
      </c>
      <c r="C86">
        <v>7</v>
      </c>
      <c r="D86">
        <v>1</v>
      </c>
      <c r="E86">
        <v>0</v>
      </c>
      <c r="F86" t="s">
        <v>83</v>
      </c>
      <c r="G86">
        <v>6</v>
      </c>
      <c r="J86">
        <v>290</v>
      </c>
    </row>
    <row r="87" spans="1:10" x14ac:dyDescent="0.25">
      <c r="A87" t="s">
        <v>220</v>
      </c>
      <c r="B87">
        <v>13338</v>
      </c>
      <c r="C87">
        <v>7</v>
      </c>
      <c r="D87">
        <v>1</v>
      </c>
      <c r="E87">
        <v>0</v>
      </c>
      <c r="F87" t="s">
        <v>83</v>
      </c>
      <c r="G87">
        <v>6</v>
      </c>
      <c r="J87">
        <v>290</v>
      </c>
    </row>
    <row r="88" spans="1:10" x14ac:dyDescent="0.25">
      <c r="A88" t="s">
        <v>220</v>
      </c>
      <c r="B88">
        <v>13506</v>
      </c>
      <c r="C88">
        <v>7</v>
      </c>
      <c r="D88">
        <v>1</v>
      </c>
      <c r="E88">
        <v>0</v>
      </c>
      <c r="F88" t="s">
        <v>83</v>
      </c>
      <c r="G88">
        <v>6</v>
      </c>
      <c r="J88">
        <v>290</v>
      </c>
    </row>
    <row r="89" spans="1:10" x14ac:dyDescent="0.25">
      <c r="A89" t="s">
        <v>29</v>
      </c>
      <c r="B89">
        <v>8008</v>
      </c>
      <c r="C89">
        <v>1</v>
      </c>
      <c r="D89">
        <v>1</v>
      </c>
      <c r="E89">
        <v>0</v>
      </c>
      <c r="F89" t="s">
        <v>83</v>
      </c>
      <c r="J89">
        <v>280</v>
      </c>
    </row>
    <row r="90" spans="1:10" x14ac:dyDescent="0.25">
      <c r="A90" t="s">
        <v>29</v>
      </c>
      <c r="B90">
        <v>8036</v>
      </c>
      <c r="C90">
        <v>1</v>
      </c>
      <c r="D90">
        <v>1</v>
      </c>
      <c r="E90">
        <v>0</v>
      </c>
      <c r="F90" t="s">
        <v>83</v>
      </c>
      <c r="J90">
        <v>280</v>
      </c>
    </row>
    <row r="91" spans="1:10" x14ac:dyDescent="0.25">
      <c r="A91" t="s">
        <v>29</v>
      </c>
      <c r="B91">
        <v>8191</v>
      </c>
      <c r="C91">
        <v>1</v>
      </c>
      <c r="D91">
        <v>1</v>
      </c>
      <c r="E91">
        <v>0</v>
      </c>
      <c r="F91" t="s">
        <v>83</v>
      </c>
      <c r="J91">
        <v>280</v>
      </c>
    </row>
    <row r="92" spans="1:10" x14ac:dyDescent="0.25">
      <c r="A92" t="s">
        <v>29</v>
      </c>
      <c r="B92">
        <v>8352</v>
      </c>
      <c r="C92">
        <v>1</v>
      </c>
      <c r="D92">
        <v>1</v>
      </c>
      <c r="E92">
        <v>0</v>
      </c>
      <c r="F92" t="s">
        <v>83</v>
      </c>
      <c r="J92">
        <v>280</v>
      </c>
    </row>
    <row r="93" spans="1:10" x14ac:dyDescent="0.25">
      <c r="A93" t="s">
        <v>29</v>
      </c>
      <c r="B93">
        <v>8508</v>
      </c>
      <c r="C93">
        <v>1</v>
      </c>
      <c r="D93">
        <v>1</v>
      </c>
      <c r="E93">
        <v>0</v>
      </c>
      <c r="F93" t="s">
        <v>83</v>
      </c>
      <c r="J93">
        <v>280</v>
      </c>
    </row>
    <row r="94" spans="1:10" x14ac:dyDescent="0.25">
      <c r="A94" t="s">
        <v>30</v>
      </c>
      <c r="B94">
        <v>9642</v>
      </c>
      <c r="C94">
        <v>3</v>
      </c>
      <c r="D94">
        <v>1</v>
      </c>
      <c r="E94">
        <v>0</v>
      </c>
      <c r="F94" t="s">
        <v>83</v>
      </c>
      <c r="J94" t="s">
        <v>221</v>
      </c>
    </row>
    <row r="95" spans="1:10" x14ac:dyDescent="0.25">
      <c r="A95" t="s">
        <v>30</v>
      </c>
      <c r="B95">
        <v>9792</v>
      </c>
      <c r="C95">
        <v>3</v>
      </c>
      <c r="D95">
        <v>1</v>
      </c>
      <c r="E95">
        <v>0</v>
      </c>
      <c r="F95" t="s">
        <v>83</v>
      </c>
      <c r="J95" t="s">
        <v>221</v>
      </c>
    </row>
    <row r="96" spans="1:10" x14ac:dyDescent="0.25">
      <c r="A96" t="s">
        <v>30</v>
      </c>
      <c r="B96">
        <v>10477</v>
      </c>
      <c r="C96">
        <v>4</v>
      </c>
      <c r="D96">
        <v>1</v>
      </c>
      <c r="E96">
        <v>0</v>
      </c>
      <c r="F96" t="s">
        <v>83</v>
      </c>
      <c r="J96" t="s">
        <v>222</v>
      </c>
    </row>
    <row r="97" spans="1:10" x14ac:dyDescent="0.25">
      <c r="A97" t="s">
        <v>30</v>
      </c>
      <c r="B97">
        <v>10640</v>
      </c>
      <c r="C97">
        <v>4</v>
      </c>
      <c r="D97">
        <v>1</v>
      </c>
      <c r="E97">
        <v>0</v>
      </c>
      <c r="F97" t="s">
        <v>83</v>
      </c>
      <c r="J97" t="s">
        <v>222</v>
      </c>
    </row>
    <row r="98" spans="1:10" x14ac:dyDescent="0.25">
      <c r="A98" t="s">
        <v>30</v>
      </c>
      <c r="B98">
        <v>12102</v>
      </c>
      <c r="C98">
        <v>5</v>
      </c>
      <c r="D98">
        <v>1</v>
      </c>
      <c r="E98">
        <v>0</v>
      </c>
      <c r="F98" t="s">
        <v>83</v>
      </c>
      <c r="J98" t="s">
        <v>222</v>
      </c>
    </row>
    <row r="99" spans="1:10" x14ac:dyDescent="0.25">
      <c r="A99" t="s">
        <v>30</v>
      </c>
      <c r="B99">
        <v>12533</v>
      </c>
      <c r="C99">
        <v>6</v>
      </c>
      <c r="D99">
        <v>1</v>
      </c>
      <c r="E99">
        <v>0</v>
      </c>
      <c r="F99" t="s">
        <v>83</v>
      </c>
      <c r="J99" t="s">
        <v>222</v>
      </c>
    </row>
    <row r="100" spans="1:10" x14ac:dyDescent="0.25">
      <c r="A100" t="s">
        <v>30</v>
      </c>
      <c r="B100">
        <v>12697</v>
      </c>
      <c r="C100">
        <v>6</v>
      </c>
      <c r="D100">
        <v>1</v>
      </c>
      <c r="E100">
        <v>0</v>
      </c>
      <c r="F100" t="s">
        <v>83</v>
      </c>
      <c r="J100" t="s">
        <v>222</v>
      </c>
    </row>
    <row r="101" spans="1:10" x14ac:dyDescent="0.25">
      <c r="A101" t="s">
        <v>30</v>
      </c>
      <c r="B101">
        <v>12851</v>
      </c>
      <c r="C101">
        <v>6</v>
      </c>
      <c r="D101">
        <v>1</v>
      </c>
      <c r="E101">
        <v>0</v>
      </c>
      <c r="F101" t="s">
        <v>83</v>
      </c>
      <c r="J101" t="s">
        <v>222</v>
      </c>
    </row>
    <row r="102" spans="1:10" x14ac:dyDescent="0.25">
      <c r="A102" t="s">
        <v>30</v>
      </c>
      <c r="B102">
        <v>13017</v>
      </c>
      <c r="C102">
        <v>6</v>
      </c>
      <c r="D102">
        <v>1</v>
      </c>
      <c r="E102">
        <v>0</v>
      </c>
      <c r="F102" t="s">
        <v>83</v>
      </c>
      <c r="J102" t="s">
        <v>222</v>
      </c>
    </row>
    <row r="103" spans="1:10" x14ac:dyDescent="0.25">
      <c r="A103" t="s">
        <v>30</v>
      </c>
      <c r="B103">
        <v>13173</v>
      </c>
      <c r="C103">
        <v>6</v>
      </c>
      <c r="D103">
        <v>1</v>
      </c>
      <c r="E103">
        <v>0</v>
      </c>
      <c r="F103" t="s">
        <v>83</v>
      </c>
      <c r="J103" t="s">
        <v>222</v>
      </c>
    </row>
    <row r="104" spans="1:10" x14ac:dyDescent="0.25">
      <c r="A104" t="s">
        <v>31</v>
      </c>
      <c r="B104">
        <v>9636</v>
      </c>
      <c r="C104">
        <v>1</v>
      </c>
      <c r="D104">
        <v>1</v>
      </c>
      <c r="E104">
        <v>0</v>
      </c>
      <c r="F104" t="s">
        <v>83</v>
      </c>
      <c r="G104">
        <v>1</v>
      </c>
      <c r="J104">
        <v>280</v>
      </c>
    </row>
    <row r="105" spans="1:10" x14ac:dyDescent="0.25">
      <c r="A105" t="s">
        <v>31</v>
      </c>
      <c r="B105">
        <v>9790</v>
      </c>
      <c r="C105">
        <v>1</v>
      </c>
      <c r="D105">
        <v>1</v>
      </c>
      <c r="E105">
        <v>0</v>
      </c>
      <c r="F105" t="s">
        <v>83</v>
      </c>
      <c r="G105">
        <v>1</v>
      </c>
      <c r="J105">
        <v>280</v>
      </c>
    </row>
    <row r="106" spans="1:10" x14ac:dyDescent="0.25">
      <c r="A106" t="s">
        <v>31</v>
      </c>
      <c r="B106">
        <v>9959</v>
      </c>
      <c r="C106">
        <v>1</v>
      </c>
      <c r="D106">
        <v>1</v>
      </c>
      <c r="E106">
        <v>0</v>
      </c>
      <c r="F106" t="s">
        <v>83</v>
      </c>
      <c r="G106">
        <v>1</v>
      </c>
      <c r="J106">
        <v>280</v>
      </c>
    </row>
    <row r="107" spans="1:10" x14ac:dyDescent="0.25">
      <c r="A107" t="s">
        <v>31</v>
      </c>
      <c r="B107">
        <v>10125</v>
      </c>
      <c r="C107">
        <v>1</v>
      </c>
      <c r="D107">
        <v>1</v>
      </c>
      <c r="E107">
        <v>0</v>
      </c>
      <c r="F107" t="s">
        <v>83</v>
      </c>
      <c r="G107">
        <v>2</v>
      </c>
      <c r="J107" t="s">
        <v>224</v>
      </c>
    </row>
    <row r="108" spans="1:10" x14ac:dyDescent="0.25">
      <c r="A108" t="s">
        <v>31</v>
      </c>
      <c r="B108">
        <v>10449</v>
      </c>
      <c r="C108">
        <v>2</v>
      </c>
      <c r="D108">
        <v>1</v>
      </c>
      <c r="E108">
        <v>0</v>
      </c>
      <c r="F108" t="s">
        <v>83</v>
      </c>
      <c r="G108">
        <v>3</v>
      </c>
      <c r="J108">
        <v>294</v>
      </c>
    </row>
    <row r="109" spans="1:10" x14ac:dyDescent="0.25">
      <c r="A109" t="s">
        <v>31</v>
      </c>
      <c r="B109">
        <v>10608</v>
      </c>
      <c r="C109">
        <v>2</v>
      </c>
      <c r="D109">
        <v>1</v>
      </c>
      <c r="E109">
        <v>0</v>
      </c>
      <c r="F109" t="s">
        <v>83</v>
      </c>
      <c r="G109">
        <v>3</v>
      </c>
      <c r="J109">
        <v>294</v>
      </c>
    </row>
    <row r="110" spans="1:10" x14ac:dyDescent="0.25">
      <c r="A110" t="s">
        <v>31</v>
      </c>
      <c r="B110">
        <v>10769</v>
      </c>
      <c r="C110">
        <v>2</v>
      </c>
      <c r="D110">
        <v>1</v>
      </c>
      <c r="E110">
        <v>0</v>
      </c>
      <c r="F110" t="s">
        <v>83</v>
      </c>
      <c r="G110">
        <v>3</v>
      </c>
      <c r="J110">
        <v>294</v>
      </c>
    </row>
    <row r="111" spans="1:10" x14ac:dyDescent="0.25">
      <c r="A111" t="s">
        <v>31</v>
      </c>
      <c r="B111">
        <v>10924</v>
      </c>
      <c r="C111">
        <v>2</v>
      </c>
      <c r="D111">
        <v>1</v>
      </c>
      <c r="E111">
        <v>0</v>
      </c>
      <c r="F111" t="s">
        <v>83</v>
      </c>
      <c r="G111">
        <v>3</v>
      </c>
      <c r="J111">
        <v>294</v>
      </c>
    </row>
    <row r="112" spans="1:10" x14ac:dyDescent="0.25">
      <c r="A112" t="s">
        <v>31</v>
      </c>
      <c r="B112">
        <v>11091</v>
      </c>
      <c r="C112">
        <v>2</v>
      </c>
      <c r="D112">
        <v>1</v>
      </c>
      <c r="E112">
        <v>0</v>
      </c>
      <c r="F112" t="s">
        <v>83</v>
      </c>
      <c r="G112">
        <v>3</v>
      </c>
      <c r="J112">
        <v>294</v>
      </c>
    </row>
    <row r="113" spans="1:10" x14ac:dyDescent="0.25">
      <c r="A113" t="s">
        <v>97</v>
      </c>
      <c r="B113">
        <v>11617</v>
      </c>
      <c r="C113">
        <v>1</v>
      </c>
      <c r="D113">
        <v>1</v>
      </c>
      <c r="E113">
        <v>0</v>
      </c>
      <c r="F113" t="s">
        <v>83</v>
      </c>
      <c r="J113" t="s">
        <v>225</v>
      </c>
    </row>
    <row r="114" spans="1:10" x14ac:dyDescent="0.25">
      <c r="A114" t="s">
        <v>97</v>
      </c>
      <c r="B114">
        <v>11773</v>
      </c>
      <c r="C114">
        <v>1</v>
      </c>
      <c r="D114">
        <v>1</v>
      </c>
      <c r="E114">
        <v>0</v>
      </c>
      <c r="F114" t="s">
        <v>83</v>
      </c>
      <c r="J114" t="s">
        <v>225</v>
      </c>
    </row>
    <row r="115" spans="1:10" x14ac:dyDescent="0.25">
      <c r="A115" t="s">
        <v>98</v>
      </c>
      <c r="B115">
        <v>11559</v>
      </c>
      <c r="C115">
        <v>1</v>
      </c>
      <c r="D115">
        <v>1</v>
      </c>
      <c r="E115">
        <v>0</v>
      </c>
      <c r="F115" t="s">
        <v>83</v>
      </c>
      <c r="G115">
        <v>1</v>
      </c>
      <c r="J115" t="s">
        <v>225</v>
      </c>
    </row>
    <row r="116" spans="1:10" x14ac:dyDescent="0.25">
      <c r="A116" t="s">
        <v>98</v>
      </c>
      <c r="B116">
        <v>11707</v>
      </c>
      <c r="C116">
        <v>1</v>
      </c>
      <c r="D116">
        <v>1</v>
      </c>
      <c r="E116">
        <v>0</v>
      </c>
      <c r="F116" t="s">
        <v>83</v>
      </c>
      <c r="G116">
        <v>1</v>
      </c>
      <c r="J116" t="s">
        <v>225</v>
      </c>
    </row>
    <row r="117" spans="1:10" x14ac:dyDescent="0.25">
      <c r="A117" t="s">
        <v>99</v>
      </c>
      <c r="B117">
        <v>14195</v>
      </c>
      <c r="C117">
        <v>2</v>
      </c>
      <c r="D117">
        <v>1</v>
      </c>
      <c r="E117">
        <v>0</v>
      </c>
      <c r="F117" t="s">
        <v>83</v>
      </c>
      <c r="G117">
        <v>2</v>
      </c>
      <c r="J117" t="s">
        <v>232</v>
      </c>
    </row>
    <row r="118" spans="1:10" x14ac:dyDescent="0.25">
      <c r="A118" t="s">
        <v>227</v>
      </c>
      <c r="B118">
        <v>15318</v>
      </c>
      <c r="C118">
        <v>3</v>
      </c>
      <c r="D118">
        <v>1</v>
      </c>
      <c r="E118">
        <v>0</v>
      </c>
      <c r="F118" t="s">
        <v>83</v>
      </c>
      <c r="G118">
        <v>3</v>
      </c>
      <c r="J118" t="s">
        <v>233</v>
      </c>
    </row>
    <row r="119" spans="1:10" x14ac:dyDescent="0.25">
      <c r="A119" t="s">
        <v>227</v>
      </c>
      <c r="B119">
        <v>15482</v>
      </c>
      <c r="C119">
        <v>3</v>
      </c>
      <c r="D119">
        <v>1</v>
      </c>
      <c r="E119">
        <v>0</v>
      </c>
      <c r="F119" t="s">
        <v>83</v>
      </c>
      <c r="G119">
        <v>3</v>
      </c>
      <c r="J119" t="s">
        <v>233</v>
      </c>
    </row>
    <row r="120" spans="1:10" x14ac:dyDescent="0.25">
      <c r="A120" t="s">
        <v>227</v>
      </c>
      <c r="B120">
        <v>15647</v>
      </c>
      <c r="C120">
        <v>3</v>
      </c>
      <c r="D120">
        <v>1</v>
      </c>
      <c r="E120">
        <v>0</v>
      </c>
      <c r="F120" t="s">
        <v>83</v>
      </c>
      <c r="G120">
        <v>3</v>
      </c>
      <c r="J120" t="s">
        <v>233</v>
      </c>
    </row>
    <row r="121" spans="1:10" x14ac:dyDescent="0.25">
      <c r="A121" t="s">
        <v>227</v>
      </c>
      <c r="B121">
        <v>15812</v>
      </c>
      <c r="C121">
        <v>3</v>
      </c>
      <c r="D121">
        <v>1</v>
      </c>
      <c r="E121">
        <v>0</v>
      </c>
      <c r="F121" t="s">
        <v>83</v>
      </c>
      <c r="G121">
        <v>3</v>
      </c>
      <c r="J121" t="s">
        <v>233</v>
      </c>
    </row>
    <row r="122" spans="1:10" x14ac:dyDescent="0.25">
      <c r="A122" t="s">
        <v>227</v>
      </c>
      <c r="B122">
        <v>15976</v>
      </c>
      <c r="C122">
        <v>4</v>
      </c>
      <c r="D122">
        <v>1</v>
      </c>
      <c r="E122">
        <v>0</v>
      </c>
      <c r="F122" t="s">
        <v>83</v>
      </c>
      <c r="G122">
        <v>4</v>
      </c>
      <c r="J122" t="s">
        <v>234</v>
      </c>
    </row>
    <row r="123" spans="1:10" x14ac:dyDescent="0.25">
      <c r="A123" t="s">
        <v>227</v>
      </c>
      <c r="B123">
        <v>16140</v>
      </c>
      <c r="C123">
        <v>5</v>
      </c>
      <c r="D123">
        <v>1</v>
      </c>
      <c r="E123">
        <v>0</v>
      </c>
      <c r="F123" t="s">
        <v>83</v>
      </c>
      <c r="G123">
        <v>5</v>
      </c>
      <c r="J123" t="s">
        <v>235</v>
      </c>
    </row>
    <row r="124" spans="1:10" x14ac:dyDescent="0.25">
      <c r="A124" t="s">
        <v>227</v>
      </c>
      <c r="B124">
        <v>16305</v>
      </c>
      <c r="C124">
        <v>5</v>
      </c>
      <c r="D124">
        <v>1</v>
      </c>
      <c r="E124">
        <v>0</v>
      </c>
      <c r="F124" t="s">
        <v>83</v>
      </c>
      <c r="G124">
        <v>6</v>
      </c>
      <c r="J124" t="s">
        <v>236</v>
      </c>
    </row>
    <row r="125" spans="1:10" x14ac:dyDescent="0.25">
      <c r="A125" t="s">
        <v>227</v>
      </c>
      <c r="B125">
        <v>16675</v>
      </c>
      <c r="C125">
        <v>6</v>
      </c>
      <c r="D125">
        <v>1</v>
      </c>
      <c r="E125">
        <v>0</v>
      </c>
      <c r="F125" t="s">
        <v>83</v>
      </c>
      <c r="G125">
        <v>7</v>
      </c>
      <c r="J125" t="s">
        <v>237</v>
      </c>
    </row>
    <row r="126" spans="1:10" x14ac:dyDescent="0.25">
      <c r="A126" t="s">
        <v>227</v>
      </c>
      <c r="B126">
        <v>16832</v>
      </c>
      <c r="C126">
        <v>6</v>
      </c>
      <c r="D126">
        <v>1</v>
      </c>
      <c r="E126">
        <v>0</v>
      </c>
      <c r="F126" t="s">
        <v>83</v>
      </c>
      <c r="G126">
        <v>7</v>
      </c>
      <c r="J126" t="s">
        <v>237</v>
      </c>
    </row>
    <row r="127" spans="1:10" x14ac:dyDescent="0.25">
      <c r="A127" t="s">
        <v>227</v>
      </c>
      <c r="B127">
        <v>17000</v>
      </c>
      <c r="C127">
        <v>6</v>
      </c>
      <c r="D127">
        <v>1</v>
      </c>
      <c r="E127">
        <v>0</v>
      </c>
      <c r="F127" t="s">
        <v>83</v>
      </c>
      <c r="G127">
        <v>7</v>
      </c>
      <c r="J127" t="s">
        <v>237</v>
      </c>
    </row>
    <row r="128" spans="1:10" x14ac:dyDescent="0.25">
      <c r="A128" t="s">
        <v>246</v>
      </c>
      <c r="B128">
        <v>10094</v>
      </c>
      <c r="C128">
        <v>1</v>
      </c>
      <c r="D128">
        <v>1</v>
      </c>
      <c r="E128">
        <v>0</v>
      </c>
      <c r="F128" t="s">
        <v>83</v>
      </c>
      <c r="J128" t="s">
        <v>247</v>
      </c>
    </row>
    <row r="129" spans="1:10" x14ac:dyDescent="0.25">
      <c r="A129" t="s">
        <v>33</v>
      </c>
      <c r="B129">
        <v>11508</v>
      </c>
      <c r="C129">
        <v>1</v>
      </c>
      <c r="D129">
        <v>1</v>
      </c>
      <c r="E129">
        <v>0</v>
      </c>
      <c r="F129" t="s">
        <v>83</v>
      </c>
    </row>
    <row r="130" spans="1:10" x14ac:dyDescent="0.25">
      <c r="A130" t="s">
        <v>33</v>
      </c>
      <c r="B130">
        <v>11674</v>
      </c>
      <c r="C130">
        <v>1</v>
      </c>
      <c r="D130">
        <v>1</v>
      </c>
      <c r="E130">
        <v>0</v>
      </c>
      <c r="F130" t="s">
        <v>83</v>
      </c>
    </row>
    <row r="131" spans="1:10" x14ac:dyDescent="0.25">
      <c r="A131" t="s">
        <v>33</v>
      </c>
      <c r="B131">
        <v>12476</v>
      </c>
      <c r="C131">
        <v>2</v>
      </c>
      <c r="D131">
        <v>1</v>
      </c>
      <c r="E131">
        <v>0</v>
      </c>
      <c r="F131" t="s">
        <v>83</v>
      </c>
    </row>
    <row r="132" spans="1:10" x14ac:dyDescent="0.25">
      <c r="A132" t="s">
        <v>101</v>
      </c>
      <c r="B132">
        <v>10897</v>
      </c>
      <c r="C132">
        <v>1</v>
      </c>
      <c r="D132">
        <v>1</v>
      </c>
      <c r="E132">
        <v>0</v>
      </c>
      <c r="F132" t="s">
        <v>83</v>
      </c>
      <c r="J132" t="s">
        <v>225</v>
      </c>
    </row>
    <row r="133" spans="1:10" x14ac:dyDescent="0.25">
      <c r="A133" t="s">
        <v>101</v>
      </c>
      <c r="B133">
        <v>11059</v>
      </c>
      <c r="C133">
        <v>1</v>
      </c>
      <c r="D133">
        <v>1</v>
      </c>
      <c r="E133">
        <v>0</v>
      </c>
      <c r="F133" t="s">
        <v>83</v>
      </c>
      <c r="J133" t="s">
        <v>225</v>
      </c>
    </row>
    <row r="134" spans="1:10" x14ac:dyDescent="0.25">
      <c r="A134" t="s">
        <v>101</v>
      </c>
      <c r="B134">
        <v>11390</v>
      </c>
      <c r="C134">
        <v>1</v>
      </c>
      <c r="D134">
        <v>1</v>
      </c>
      <c r="E134">
        <v>0</v>
      </c>
      <c r="F134" t="s">
        <v>83</v>
      </c>
      <c r="J134" t="s">
        <v>225</v>
      </c>
    </row>
    <row r="135" spans="1:10" x14ac:dyDescent="0.25">
      <c r="A135" t="s">
        <v>101</v>
      </c>
      <c r="B135">
        <v>11547</v>
      </c>
      <c r="C135">
        <v>1</v>
      </c>
      <c r="D135">
        <v>1</v>
      </c>
      <c r="E135">
        <v>0</v>
      </c>
      <c r="F135" t="s">
        <v>83</v>
      </c>
      <c r="J135" t="s">
        <v>225</v>
      </c>
    </row>
    <row r="136" spans="1:10" x14ac:dyDescent="0.25">
      <c r="A136" t="s">
        <v>252</v>
      </c>
      <c r="B136">
        <v>12770</v>
      </c>
      <c r="C136">
        <v>1</v>
      </c>
      <c r="D136">
        <v>1</v>
      </c>
      <c r="E136">
        <v>0</v>
      </c>
      <c r="F136" t="s">
        <v>149</v>
      </c>
    </row>
    <row r="137" spans="1:10" x14ac:dyDescent="0.25">
      <c r="A137" t="s">
        <v>252</v>
      </c>
      <c r="B137">
        <v>12883</v>
      </c>
      <c r="C137">
        <v>1</v>
      </c>
      <c r="D137">
        <v>1</v>
      </c>
      <c r="E137">
        <v>0</v>
      </c>
      <c r="F137" t="s">
        <v>149</v>
      </c>
    </row>
    <row r="138" spans="1:10" x14ac:dyDescent="0.25">
      <c r="A138" t="s">
        <v>252</v>
      </c>
      <c r="B138">
        <v>13625</v>
      </c>
      <c r="C138">
        <v>1</v>
      </c>
      <c r="D138">
        <v>1</v>
      </c>
      <c r="E138">
        <v>0</v>
      </c>
      <c r="F138" t="s">
        <v>149</v>
      </c>
    </row>
    <row r="139" spans="1:10" x14ac:dyDescent="0.25">
      <c r="A139" t="s">
        <v>252</v>
      </c>
      <c r="B139">
        <v>12754</v>
      </c>
      <c r="C139">
        <v>1</v>
      </c>
      <c r="D139">
        <v>1</v>
      </c>
      <c r="E139">
        <v>0</v>
      </c>
      <c r="F139" t="s">
        <v>83</v>
      </c>
    </row>
    <row r="140" spans="1:10" x14ac:dyDescent="0.25">
      <c r="A140" t="s">
        <v>252</v>
      </c>
      <c r="B140">
        <v>12917</v>
      </c>
      <c r="C140">
        <v>1</v>
      </c>
      <c r="D140">
        <v>1</v>
      </c>
      <c r="E140">
        <v>0</v>
      </c>
      <c r="F140" t="s">
        <v>83</v>
      </c>
    </row>
    <row r="141" spans="1:10" x14ac:dyDescent="0.25">
      <c r="A141" t="s">
        <v>37</v>
      </c>
      <c r="B141">
        <v>24814</v>
      </c>
      <c r="C141">
        <v>1</v>
      </c>
      <c r="D141">
        <v>1</v>
      </c>
      <c r="E141">
        <v>0</v>
      </c>
      <c r="F141" t="s">
        <v>83</v>
      </c>
      <c r="G141">
        <v>1</v>
      </c>
      <c r="J141" t="s">
        <v>256</v>
      </c>
    </row>
    <row r="142" spans="1:10" x14ac:dyDescent="0.25">
      <c r="A142" t="s">
        <v>37</v>
      </c>
      <c r="B142">
        <v>24980</v>
      </c>
      <c r="C142">
        <v>2</v>
      </c>
      <c r="D142">
        <v>1</v>
      </c>
      <c r="E142">
        <v>0</v>
      </c>
      <c r="F142" t="s">
        <v>83</v>
      </c>
      <c r="G142">
        <v>2</v>
      </c>
    </row>
    <row r="143" spans="1:10" x14ac:dyDescent="0.25">
      <c r="A143" t="s">
        <v>37</v>
      </c>
      <c r="B143">
        <v>25145</v>
      </c>
      <c r="C143">
        <v>2</v>
      </c>
      <c r="D143">
        <v>1</v>
      </c>
      <c r="E143">
        <v>0</v>
      </c>
      <c r="F143" t="s">
        <v>83</v>
      </c>
      <c r="G143">
        <v>2</v>
      </c>
    </row>
    <row r="144" spans="1:10" x14ac:dyDescent="0.25">
      <c r="A144" t="s">
        <v>37</v>
      </c>
      <c r="B144">
        <v>25311</v>
      </c>
      <c r="C144">
        <v>2</v>
      </c>
      <c r="D144">
        <v>1</v>
      </c>
      <c r="E144">
        <v>0</v>
      </c>
      <c r="F144" t="s">
        <v>83</v>
      </c>
      <c r="G144">
        <v>2</v>
      </c>
      <c r="J144" t="s">
        <v>257</v>
      </c>
    </row>
    <row r="145" spans="1:10" x14ac:dyDescent="0.25">
      <c r="A145" t="s">
        <v>251</v>
      </c>
      <c r="B145">
        <v>7334</v>
      </c>
      <c r="C145">
        <v>1</v>
      </c>
      <c r="D145">
        <v>1</v>
      </c>
      <c r="E145">
        <v>0</v>
      </c>
      <c r="F145" t="s">
        <v>83</v>
      </c>
    </row>
    <row r="146" spans="1:10" x14ac:dyDescent="0.25">
      <c r="A146" t="s">
        <v>102</v>
      </c>
      <c r="B146">
        <v>12212</v>
      </c>
      <c r="C146">
        <v>2</v>
      </c>
      <c r="D146">
        <v>1</v>
      </c>
      <c r="E146">
        <v>0</v>
      </c>
      <c r="F146" t="s">
        <v>83</v>
      </c>
      <c r="J146" t="s">
        <v>253</v>
      </c>
    </row>
    <row r="147" spans="1:10" x14ac:dyDescent="0.25">
      <c r="A147" t="s">
        <v>102</v>
      </c>
      <c r="B147">
        <v>12367</v>
      </c>
      <c r="C147">
        <v>2</v>
      </c>
      <c r="D147">
        <v>1</v>
      </c>
      <c r="E147">
        <v>0</v>
      </c>
      <c r="F147" t="s">
        <v>83</v>
      </c>
      <c r="J147" t="s">
        <v>253</v>
      </c>
    </row>
    <row r="148" spans="1:10" x14ac:dyDescent="0.25">
      <c r="A148" t="s">
        <v>103</v>
      </c>
      <c r="B148">
        <v>9994</v>
      </c>
      <c r="C148">
        <v>1</v>
      </c>
      <c r="D148">
        <v>1</v>
      </c>
      <c r="E148">
        <v>0</v>
      </c>
      <c r="F148" t="s">
        <v>83</v>
      </c>
      <c r="J148" t="s">
        <v>261</v>
      </c>
    </row>
    <row r="149" spans="1:10" x14ac:dyDescent="0.25">
      <c r="A149" t="s">
        <v>103</v>
      </c>
      <c r="B149">
        <v>10154</v>
      </c>
      <c r="C149">
        <v>1</v>
      </c>
      <c r="D149">
        <v>1</v>
      </c>
      <c r="E149">
        <v>0</v>
      </c>
      <c r="F149" t="s">
        <v>83</v>
      </c>
      <c r="J149" t="s">
        <v>261</v>
      </c>
    </row>
    <row r="150" spans="1:10" x14ac:dyDescent="0.25">
      <c r="A150" t="s">
        <v>103</v>
      </c>
      <c r="B150">
        <v>10313</v>
      </c>
      <c r="C150">
        <v>1</v>
      </c>
      <c r="D150">
        <v>1</v>
      </c>
      <c r="E150">
        <v>0</v>
      </c>
      <c r="F150" t="s">
        <v>83</v>
      </c>
    </row>
    <row r="151" spans="1:10" x14ac:dyDescent="0.25">
      <c r="A151" t="s">
        <v>103</v>
      </c>
      <c r="B151">
        <v>10482</v>
      </c>
      <c r="C151">
        <v>1</v>
      </c>
      <c r="D151">
        <v>1</v>
      </c>
      <c r="E151">
        <v>0</v>
      </c>
      <c r="F151" t="s">
        <v>83</v>
      </c>
    </row>
    <row r="152" spans="1:10" x14ac:dyDescent="0.25">
      <c r="A152" t="s">
        <v>103</v>
      </c>
      <c r="B152">
        <v>12439</v>
      </c>
      <c r="C152">
        <v>2</v>
      </c>
      <c r="D152">
        <v>1</v>
      </c>
      <c r="E152">
        <v>0</v>
      </c>
      <c r="F152" t="s">
        <v>83</v>
      </c>
    </row>
    <row r="153" spans="1:10" x14ac:dyDescent="0.25">
      <c r="A153" t="s">
        <v>39</v>
      </c>
      <c r="B153">
        <v>19706</v>
      </c>
      <c r="C153">
        <v>1</v>
      </c>
      <c r="D153">
        <v>1</v>
      </c>
      <c r="E153">
        <v>1</v>
      </c>
      <c r="F153" t="s">
        <v>83</v>
      </c>
      <c r="G153">
        <v>1</v>
      </c>
      <c r="J153" t="s">
        <v>262</v>
      </c>
    </row>
    <row r="154" spans="1:10" x14ac:dyDescent="0.25">
      <c r="A154" t="s">
        <v>39</v>
      </c>
      <c r="B154">
        <v>22085</v>
      </c>
      <c r="C154">
        <v>2</v>
      </c>
      <c r="D154">
        <v>1</v>
      </c>
      <c r="E154">
        <v>0</v>
      </c>
      <c r="F154" t="s">
        <v>83</v>
      </c>
      <c r="G154">
        <v>2</v>
      </c>
      <c r="J154" t="s">
        <v>263</v>
      </c>
    </row>
    <row r="155" spans="1:10" x14ac:dyDescent="0.25">
      <c r="A155" t="s">
        <v>39</v>
      </c>
      <c r="B155">
        <v>21629</v>
      </c>
      <c r="C155">
        <v>2</v>
      </c>
      <c r="D155">
        <v>1</v>
      </c>
      <c r="E155">
        <v>1</v>
      </c>
      <c r="F155" t="s">
        <v>83</v>
      </c>
      <c r="G155">
        <v>1</v>
      </c>
      <c r="J155" t="s">
        <v>262</v>
      </c>
    </row>
    <row r="156" spans="1:10" x14ac:dyDescent="0.25">
      <c r="A156" t="s">
        <v>39</v>
      </c>
      <c r="B156">
        <v>21783</v>
      </c>
      <c r="C156">
        <v>2</v>
      </c>
      <c r="D156">
        <v>1</v>
      </c>
      <c r="E156">
        <v>1</v>
      </c>
      <c r="F156" t="s">
        <v>83</v>
      </c>
      <c r="G156">
        <v>1</v>
      </c>
      <c r="J156" t="s">
        <v>262</v>
      </c>
    </row>
    <row r="157" spans="1:10" x14ac:dyDescent="0.25">
      <c r="A157" t="s">
        <v>39</v>
      </c>
      <c r="B157">
        <v>21913</v>
      </c>
      <c r="C157">
        <v>2</v>
      </c>
      <c r="D157">
        <v>1</v>
      </c>
      <c r="E157">
        <v>1</v>
      </c>
      <c r="F157" t="s">
        <v>83</v>
      </c>
      <c r="G157">
        <v>2</v>
      </c>
      <c r="J157" t="s">
        <v>263</v>
      </c>
    </row>
    <row r="158" spans="1:10" x14ac:dyDescent="0.25">
      <c r="A158" t="s">
        <v>266</v>
      </c>
      <c r="B158">
        <v>5276</v>
      </c>
      <c r="C158">
        <v>1</v>
      </c>
      <c r="D158">
        <v>1</v>
      </c>
      <c r="E158">
        <v>0</v>
      </c>
      <c r="F158" t="s">
        <v>83</v>
      </c>
    </row>
    <row r="159" spans="1:10" x14ac:dyDescent="0.25">
      <c r="A159" t="s">
        <v>106</v>
      </c>
      <c r="B159">
        <v>11259</v>
      </c>
      <c r="C159">
        <v>2</v>
      </c>
      <c r="D159">
        <v>1</v>
      </c>
      <c r="E159">
        <v>0</v>
      </c>
      <c r="F159" t="s">
        <v>83</v>
      </c>
      <c r="G159">
        <v>1</v>
      </c>
      <c r="J159" t="s">
        <v>267</v>
      </c>
    </row>
    <row r="160" spans="1:10" x14ac:dyDescent="0.25">
      <c r="A160" t="s">
        <v>266</v>
      </c>
      <c r="B160">
        <v>5124</v>
      </c>
      <c r="C160">
        <v>1</v>
      </c>
      <c r="D160">
        <v>2</v>
      </c>
      <c r="E160">
        <v>0</v>
      </c>
      <c r="F160" t="s">
        <v>268</v>
      </c>
    </row>
    <row r="161" spans="1:10" x14ac:dyDescent="0.25">
      <c r="A161" t="s">
        <v>266</v>
      </c>
      <c r="B161">
        <v>5272</v>
      </c>
      <c r="C161">
        <v>1</v>
      </c>
      <c r="D161">
        <v>2</v>
      </c>
      <c r="E161">
        <v>0</v>
      </c>
      <c r="F161" t="s">
        <v>268</v>
      </c>
    </row>
    <row r="162" spans="1:10" x14ac:dyDescent="0.25">
      <c r="A162" t="s">
        <v>266</v>
      </c>
      <c r="B162">
        <v>5414</v>
      </c>
      <c r="C162">
        <v>1</v>
      </c>
      <c r="D162">
        <v>2</v>
      </c>
      <c r="E162">
        <v>0</v>
      </c>
      <c r="F162" t="s">
        <v>268</v>
      </c>
    </row>
    <row r="163" spans="1:10" x14ac:dyDescent="0.25">
      <c r="A163" t="s">
        <v>106</v>
      </c>
      <c r="B163">
        <v>10838</v>
      </c>
      <c r="C163">
        <v>2</v>
      </c>
      <c r="D163">
        <v>1</v>
      </c>
      <c r="E163">
        <v>0</v>
      </c>
      <c r="F163" t="s">
        <v>268</v>
      </c>
      <c r="G163">
        <v>2</v>
      </c>
      <c r="J163" t="s">
        <v>270</v>
      </c>
    </row>
    <row r="164" spans="1:10" x14ac:dyDescent="0.25">
      <c r="A164" t="s">
        <v>106</v>
      </c>
      <c r="B164">
        <v>10992</v>
      </c>
      <c r="C164">
        <v>2</v>
      </c>
      <c r="D164">
        <v>1</v>
      </c>
      <c r="E164">
        <v>0</v>
      </c>
      <c r="F164" t="s">
        <v>268</v>
      </c>
      <c r="G164">
        <v>2</v>
      </c>
      <c r="J164" t="s">
        <v>270</v>
      </c>
    </row>
    <row r="165" spans="1:10" x14ac:dyDescent="0.25">
      <c r="A165" t="s">
        <v>106</v>
      </c>
      <c r="B165">
        <v>11164</v>
      </c>
      <c r="C165">
        <v>2</v>
      </c>
      <c r="D165">
        <v>1</v>
      </c>
      <c r="E165">
        <v>0</v>
      </c>
      <c r="F165" t="s">
        <v>268</v>
      </c>
      <c r="G165">
        <v>1</v>
      </c>
      <c r="J165" t="s">
        <v>269</v>
      </c>
    </row>
    <row r="166" spans="1:10" x14ac:dyDescent="0.25">
      <c r="A166" t="s">
        <v>106</v>
      </c>
      <c r="B166">
        <v>11318</v>
      </c>
      <c r="C166">
        <v>2</v>
      </c>
      <c r="D166">
        <v>1</v>
      </c>
      <c r="E166">
        <v>0</v>
      </c>
      <c r="F166" t="s">
        <v>268</v>
      </c>
      <c r="G166">
        <v>1</v>
      </c>
    </row>
    <row r="167" spans="1:10" x14ac:dyDescent="0.25">
      <c r="A167" t="s">
        <v>106</v>
      </c>
      <c r="B167">
        <v>11417</v>
      </c>
      <c r="C167">
        <v>2</v>
      </c>
      <c r="D167">
        <v>1</v>
      </c>
      <c r="E167">
        <v>0</v>
      </c>
      <c r="F167" t="s">
        <v>268</v>
      </c>
      <c r="G167">
        <v>1</v>
      </c>
      <c r="J167" t="s">
        <v>271</v>
      </c>
    </row>
    <row r="168" spans="1:10" x14ac:dyDescent="0.25">
      <c r="A168" t="s">
        <v>106</v>
      </c>
      <c r="B168">
        <v>11514</v>
      </c>
      <c r="C168">
        <v>2</v>
      </c>
      <c r="D168">
        <v>1</v>
      </c>
      <c r="E168">
        <v>0</v>
      </c>
      <c r="F168" t="s">
        <v>268</v>
      </c>
      <c r="G168">
        <v>1</v>
      </c>
      <c r="J168" t="s">
        <v>271</v>
      </c>
    </row>
    <row r="169" spans="1:10" x14ac:dyDescent="0.25">
      <c r="A169" t="s">
        <v>106</v>
      </c>
      <c r="B169">
        <v>11736</v>
      </c>
      <c r="C169">
        <v>2</v>
      </c>
      <c r="D169">
        <v>1</v>
      </c>
      <c r="E169">
        <v>0</v>
      </c>
      <c r="F169" t="s">
        <v>268</v>
      </c>
      <c r="G169">
        <v>1</v>
      </c>
      <c r="J169" t="s">
        <v>271</v>
      </c>
    </row>
    <row r="170" spans="1:10" x14ac:dyDescent="0.25">
      <c r="A170" t="s">
        <v>272</v>
      </c>
      <c r="B170">
        <v>10478</v>
      </c>
      <c r="C170">
        <v>1</v>
      </c>
      <c r="D170">
        <v>2</v>
      </c>
      <c r="E170">
        <v>0</v>
      </c>
      <c r="F170" t="s">
        <v>268</v>
      </c>
      <c r="G170">
        <v>1</v>
      </c>
      <c r="J170" t="s">
        <v>225</v>
      </c>
    </row>
    <row r="171" spans="1:10" x14ac:dyDescent="0.25">
      <c r="A171" t="s">
        <v>272</v>
      </c>
      <c r="B171">
        <v>18619</v>
      </c>
      <c r="C171">
        <v>3</v>
      </c>
      <c r="D171">
        <v>2</v>
      </c>
      <c r="E171">
        <v>0</v>
      </c>
      <c r="F171" t="s">
        <v>268</v>
      </c>
      <c r="G171">
        <v>2</v>
      </c>
      <c r="J171" t="s">
        <v>275</v>
      </c>
    </row>
    <row r="172" spans="1:10" x14ac:dyDescent="0.25">
      <c r="A172" t="s">
        <v>272</v>
      </c>
      <c r="B172">
        <v>18781</v>
      </c>
      <c r="C172">
        <v>3</v>
      </c>
      <c r="D172">
        <v>2</v>
      </c>
      <c r="E172">
        <v>0</v>
      </c>
      <c r="F172" t="s">
        <v>268</v>
      </c>
      <c r="G172">
        <v>2</v>
      </c>
      <c r="J172" t="s">
        <v>275</v>
      </c>
    </row>
    <row r="173" spans="1:10" x14ac:dyDescent="0.25">
      <c r="A173" t="s">
        <v>272</v>
      </c>
      <c r="B173">
        <v>18598</v>
      </c>
      <c r="C173">
        <v>3</v>
      </c>
      <c r="D173">
        <v>1</v>
      </c>
      <c r="E173">
        <v>0</v>
      </c>
      <c r="F173" t="s">
        <v>83</v>
      </c>
      <c r="G173">
        <v>2</v>
      </c>
    </row>
    <row r="174" spans="1:10" x14ac:dyDescent="0.25">
      <c r="A174" t="s">
        <v>272</v>
      </c>
      <c r="B174">
        <v>18745</v>
      </c>
      <c r="C174">
        <v>3</v>
      </c>
      <c r="D174">
        <v>1</v>
      </c>
      <c r="E174">
        <v>0</v>
      </c>
      <c r="F174" t="s">
        <v>83</v>
      </c>
      <c r="G174">
        <v>2</v>
      </c>
    </row>
    <row r="175" spans="1:10" x14ac:dyDescent="0.25">
      <c r="A175" t="s">
        <v>43</v>
      </c>
      <c r="B175">
        <v>14918</v>
      </c>
      <c r="C175">
        <v>1</v>
      </c>
      <c r="D175">
        <v>1</v>
      </c>
      <c r="E175">
        <v>0</v>
      </c>
      <c r="F175" t="s">
        <v>83</v>
      </c>
    </row>
    <row r="176" spans="1:10" x14ac:dyDescent="0.25">
      <c r="A176" t="s">
        <v>43</v>
      </c>
      <c r="B176">
        <v>15084</v>
      </c>
      <c r="C176">
        <v>1</v>
      </c>
      <c r="D176">
        <v>1</v>
      </c>
      <c r="E176">
        <v>0</v>
      </c>
      <c r="F176" t="s">
        <v>83</v>
      </c>
    </row>
    <row r="177" spans="1:10" x14ac:dyDescent="0.25">
      <c r="A177" t="s">
        <v>43</v>
      </c>
      <c r="B177">
        <v>15252</v>
      </c>
      <c r="C177">
        <v>1</v>
      </c>
      <c r="D177">
        <v>1</v>
      </c>
      <c r="E177">
        <v>0</v>
      </c>
      <c r="F177" t="s">
        <v>83</v>
      </c>
    </row>
    <row r="178" spans="1:10" x14ac:dyDescent="0.25">
      <c r="A178" t="s">
        <v>43</v>
      </c>
      <c r="B178">
        <v>14491</v>
      </c>
      <c r="C178">
        <v>1</v>
      </c>
      <c r="D178">
        <v>2</v>
      </c>
      <c r="E178">
        <v>0</v>
      </c>
      <c r="F178" t="s">
        <v>268</v>
      </c>
      <c r="J178" t="s">
        <v>276</v>
      </c>
    </row>
    <row r="179" spans="1:10" x14ac:dyDescent="0.25">
      <c r="A179" t="s">
        <v>43</v>
      </c>
      <c r="B179">
        <v>14751</v>
      </c>
      <c r="C179">
        <v>1</v>
      </c>
      <c r="D179">
        <v>2</v>
      </c>
      <c r="E179">
        <v>0</v>
      </c>
      <c r="F179" t="s">
        <v>268</v>
      </c>
      <c r="J179" t="s">
        <v>276</v>
      </c>
    </row>
    <row r="180" spans="1:10" x14ac:dyDescent="0.25">
      <c r="A180" t="s">
        <v>43</v>
      </c>
      <c r="B180">
        <v>14917</v>
      </c>
      <c r="C180">
        <v>1</v>
      </c>
      <c r="D180">
        <v>2</v>
      </c>
      <c r="E180">
        <v>0</v>
      </c>
      <c r="F180" t="s">
        <v>268</v>
      </c>
    </row>
    <row r="181" spans="1:10" x14ac:dyDescent="0.25">
      <c r="A181" t="s">
        <v>43</v>
      </c>
      <c r="B181">
        <v>15083</v>
      </c>
      <c r="C181">
        <v>1</v>
      </c>
      <c r="D181">
        <v>2</v>
      </c>
      <c r="E181">
        <v>0</v>
      </c>
      <c r="F181" t="s">
        <v>268</v>
      </c>
    </row>
    <row r="182" spans="1:10" x14ac:dyDescent="0.25">
      <c r="A182" t="s">
        <v>43</v>
      </c>
      <c r="B182">
        <v>15250</v>
      </c>
      <c r="C182">
        <v>1</v>
      </c>
      <c r="D182">
        <v>2</v>
      </c>
      <c r="E182">
        <v>0</v>
      </c>
      <c r="F182" t="s">
        <v>268</v>
      </c>
    </row>
    <row r="183" spans="1:10" x14ac:dyDescent="0.25">
      <c r="A183" t="s">
        <v>43</v>
      </c>
      <c r="B183">
        <v>15418</v>
      </c>
      <c r="C183">
        <v>1</v>
      </c>
      <c r="D183">
        <v>2</v>
      </c>
      <c r="E183">
        <v>0</v>
      </c>
      <c r="F183" t="s">
        <v>268</v>
      </c>
      <c r="J183" t="s">
        <v>277</v>
      </c>
    </row>
    <row r="184" spans="1:10" x14ac:dyDescent="0.25">
      <c r="A184" t="s">
        <v>43</v>
      </c>
      <c r="B184">
        <v>15586</v>
      </c>
      <c r="C184">
        <v>1</v>
      </c>
      <c r="D184">
        <v>2</v>
      </c>
      <c r="E184">
        <v>0</v>
      </c>
      <c r="F184" t="s">
        <v>268</v>
      </c>
      <c r="J184" t="s">
        <v>276</v>
      </c>
    </row>
    <row r="185" spans="1:10" x14ac:dyDescent="0.25">
      <c r="A185" t="s">
        <v>281</v>
      </c>
      <c r="B185">
        <v>9541</v>
      </c>
      <c r="C185">
        <v>1</v>
      </c>
      <c r="D185">
        <v>2</v>
      </c>
      <c r="E185">
        <v>0</v>
      </c>
      <c r="F185" t="s">
        <v>268</v>
      </c>
    </row>
    <row r="186" spans="1:10" x14ac:dyDescent="0.25">
      <c r="A186" t="s">
        <v>281</v>
      </c>
      <c r="B186">
        <v>9695</v>
      </c>
      <c r="C186">
        <v>1</v>
      </c>
      <c r="D186">
        <v>2</v>
      </c>
      <c r="E186">
        <v>0</v>
      </c>
      <c r="F186" t="s">
        <v>268</v>
      </c>
    </row>
    <row r="187" spans="1:10" x14ac:dyDescent="0.25">
      <c r="A187" t="s">
        <v>281</v>
      </c>
      <c r="B187">
        <v>9865</v>
      </c>
      <c r="C187">
        <v>1</v>
      </c>
      <c r="D187">
        <v>2</v>
      </c>
      <c r="E187">
        <v>0</v>
      </c>
      <c r="F187" t="s">
        <v>268</v>
      </c>
    </row>
    <row r="188" spans="1:10" x14ac:dyDescent="0.25">
      <c r="A188" t="s">
        <v>45</v>
      </c>
      <c r="B188">
        <v>14620</v>
      </c>
      <c r="C188">
        <v>2</v>
      </c>
      <c r="D188">
        <v>2</v>
      </c>
      <c r="E188">
        <v>0</v>
      </c>
      <c r="F188" t="s">
        <v>268</v>
      </c>
      <c r="J188">
        <v>580</v>
      </c>
    </row>
    <row r="189" spans="1:10" x14ac:dyDescent="0.25">
      <c r="A189" t="s">
        <v>45</v>
      </c>
      <c r="B189">
        <v>14952</v>
      </c>
      <c r="C189">
        <v>2</v>
      </c>
      <c r="D189">
        <v>2</v>
      </c>
      <c r="E189">
        <v>0</v>
      </c>
      <c r="F189" t="s">
        <v>268</v>
      </c>
    </row>
    <row r="190" spans="1:10" x14ac:dyDescent="0.25">
      <c r="A190" t="s">
        <v>45</v>
      </c>
      <c r="B190">
        <v>15121</v>
      </c>
      <c r="C190">
        <v>2</v>
      </c>
      <c r="D190">
        <v>2</v>
      </c>
      <c r="E190">
        <v>0</v>
      </c>
      <c r="F190" t="s">
        <v>268</v>
      </c>
      <c r="J190" t="s">
        <v>282</v>
      </c>
    </row>
    <row r="191" spans="1:10" x14ac:dyDescent="0.25">
      <c r="A191" t="s">
        <v>45</v>
      </c>
      <c r="B191">
        <v>15285</v>
      </c>
      <c r="C191">
        <v>3</v>
      </c>
      <c r="D191">
        <v>2</v>
      </c>
      <c r="E191">
        <v>0</v>
      </c>
      <c r="F191" t="s">
        <v>268</v>
      </c>
    </row>
    <row r="192" spans="1:10" x14ac:dyDescent="0.25">
      <c r="A192" t="s">
        <v>45</v>
      </c>
      <c r="B192">
        <v>15449</v>
      </c>
      <c r="C192">
        <v>3</v>
      </c>
      <c r="D192">
        <v>2</v>
      </c>
      <c r="E192">
        <v>0</v>
      </c>
      <c r="F192" t="s">
        <v>268</v>
      </c>
    </row>
    <row r="193" spans="1:10" x14ac:dyDescent="0.25">
      <c r="A193" t="s">
        <v>45</v>
      </c>
      <c r="B193">
        <v>15614</v>
      </c>
      <c r="C193">
        <v>3</v>
      </c>
      <c r="D193">
        <v>2</v>
      </c>
      <c r="E193">
        <v>0</v>
      </c>
      <c r="F193" t="s">
        <v>268</v>
      </c>
    </row>
    <row r="194" spans="1:10" x14ac:dyDescent="0.25">
      <c r="A194" t="s">
        <v>45</v>
      </c>
      <c r="B194">
        <v>15779</v>
      </c>
      <c r="C194">
        <v>3</v>
      </c>
      <c r="D194">
        <v>2</v>
      </c>
      <c r="E194">
        <v>0</v>
      </c>
      <c r="F194" t="s">
        <v>268</v>
      </c>
    </row>
    <row r="195" spans="1:10" x14ac:dyDescent="0.25">
      <c r="A195" t="s">
        <v>45</v>
      </c>
      <c r="B195">
        <v>15944</v>
      </c>
      <c r="C195">
        <v>3</v>
      </c>
      <c r="D195">
        <v>2</v>
      </c>
      <c r="E195">
        <v>0</v>
      </c>
      <c r="F195" t="s">
        <v>268</v>
      </c>
    </row>
    <row r="196" spans="1:10" x14ac:dyDescent="0.25">
      <c r="A196" t="s">
        <v>45</v>
      </c>
      <c r="B196">
        <v>16115</v>
      </c>
      <c r="C196">
        <v>3</v>
      </c>
      <c r="D196">
        <v>2</v>
      </c>
      <c r="E196">
        <v>0</v>
      </c>
      <c r="F196" t="s">
        <v>268</v>
      </c>
    </row>
    <row r="197" spans="1:10" x14ac:dyDescent="0.25">
      <c r="A197" t="s">
        <v>45</v>
      </c>
      <c r="B197">
        <v>16473</v>
      </c>
      <c r="C197">
        <v>4</v>
      </c>
      <c r="D197">
        <v>2</v>
      </c>
      <c r="E197">
        <v>0</v>
      </c>
      <c r="F197" t="s">
        <v>268</v>
      </c>
    </row>
    <row r="198" spans="1:10" x14ac:dyDescent="0.25">
      <c r="A198" t="s">
        <v>283</v>
      </c>
      <c r="B198">
        <v>16636</v>
      </c>
      <c r="C198">
        <v>4</v>
      </c>
      <c r="D198">
        <v>2</v>
      </c>
      <c r="E198">
        <v>0</v>
      </c>
      <c r="F198" t="s">
        <v>268</v>
      </c>
      <c r="J198" t="s">
        <v>284</v>
      </c>
    </row>
    <row r="199" spans="1:10" x14ac:dyDescent="0.25">
      <c r="A199" t="s">
        <v>281</v>
      </c>
      <c r="B199">
        <v>9523</v>
      </c>
      <c r="C199">
        <v>1</v>
      </c>
      <c r="D199">
        <v>1</v>
      </c>
      <c r="E199">
        <v>0</v>
      </c>
      <c r="F199" t="s">
        <v>83</v>
      </c>
    </row>
    <row r="200" spans="1:10" x14ac:dyDescent="0.25">
      <c r="A200" t="s">
        <v>281</v>
      </c>
      <c r="B200">
        <v>9666</v>
      </c>
      <c r="C200">
        <v>1</v>
      </c>
      <c r="D200">
        <v>1</v>
      </c>
      <c r="E200">
        <v>0</v>
      </c>
      <c r="F200" t="s">
        <v>83</v>
      </c>
    </row>
    <row r="201" spans="1:10" x14ac:dyDescent="0.25">
      <c r="A201" t="s">
        <v>281</v>
      </c>
      <c r="B201">
        <v>9825</v>
      </c>
      <c r="C201">
        <v>1</v>
      </c>
      <c r="D201">
        <v>1</v>
      </c>
      <c r="E201">
        <v>0</v>
      </c>
      <c r="F201" t="s">
        <v>83</v>
      </c>
    </row>
    <row r="202" spans="1:10" x14ac:dyDescent="0.25">
      <c r="A202" t="s">
        <v>45</v>
      </c>
      <c r="B202">
        <v>14786</v>
      </c>
      <c r="C202">
        <v>2</v>
      </c>
      <c r="D202">
        <v>1</v>
      </c>
      <c r="E202">
        <v>0</v>
      </c>
      <c r="F202" t="s">
        <v>83</v>
      </c>
    </row>
    <row r="203" spans="1:10" x14ac:dyDescent="0.25">
      <c r="A203" t="s">
        <v>45</v>
      </c>
      <c r="B203">
        <v>14953</v>
      </c>
      <c r="C203">
        <v>2</v>
      </c>
      <c r="D203">
        <v>1</v>
      </c>
      <c r="E203">
        <v>0</v>
      </c>
      <c r="F203" t="s">
        <v>83</v>
      </c>
    </row>
    <row r="204" spans="1:10" x14ac:dyDescent="0.25">
      <c r="A204" t="s">
        <v>45</v>
      </c>
      <c r="B204">
        <v>15290</v>
      </c>
      <c r="C204">
        <v>2</v>
      </c>
      <c r="D204">
        <v>1</v>
      </c>
      <c r="E204">
        <v>0</v>
      </c>
      <c r="F204" t="s">
        <v>83</v>
      </c>
    </row>
    <row r="205" spans="1:10" x14ac:dyDescent="0.25">
      <c r="A205" t="s">
        <v>45</v>
      </c>
      <c r="B205">
        <v>15451</v>
      </c>
      <c r="C205">
        <v>3</v>
      </c>
      <c r="D205">
        <v>1</v>
      </c>
      <c r="E205">
        <v>0</v>
      </c>
      <c r="F205" t="s">
        <v>83</v>
      </c>
    </row>
    <row r="206" spans="1:10" x14ac:dyDescent="0.25">
      <c r="A206" t="s">
        <v>45</v>
      </c>
      <c r="B206">
        <v>15615</v>
      </c>
      <c r="C206">
        <v>3</v>
      </c>
      <c r="D206">
        <v>1</v>
      </c>
      <c r="E206">
        <v>0</v>
      </c>
      <c r="F206" t="s">
        <v>83</v>
      </c>
    </row>
    <row r="207" spans="1:10" x14ac:dyDescent="0.25">
      <c r="A207" t="s">
        <v>283</v>
      </c>
      <c r="B207">
        <v>16669</v>
      </c>
      <c r="C207">
        <v>4</v>
      </c>
      <c r="D207">
        <v>1</v>
      </c>
      <c r="E207">
        <v>0</v>
      </c>
      <c r="F207" t="s">
        <v>83</v>
      </c>
    </row>
    <row r="208" spans="1:10" x14ac:dyDescent="0.25">
      <c r="A208" t="s">
        <v>47</v>
      </c>
      <c r="B208">
        <v>13565</v>
      </c>
      <c r="C208">
        <v>1</v>
      </c>
      <c r="D208">
        <v>1</v>
      </c>
      <c r="E208">
        <v>0</v>
      </c>
      <c r="F208" t="s">
        <v>83</v>
      </c>
    </row>
    <row r="209" spans="1:10" x14ac:dyDescent="0.25">
      <c r="A209" t="s">
        <v>47</v>
      </c>
      <c r="B209">
        <v>13729</v>
      </c>
      <c r="C209">
        <v>1</v>
      </c>
      <c r="D209">
        <v>1</v>
      </c>
      <c r="E209">
        <v>0</v>
      </c>
      <c r="F209" t="s">
        <v>83</v>
      </c>
    </row>
    <row r="210" spans="1:10" x14ac:dyDescent="0.25">
      <c r="A210" t="s">
        <v>47</v>
      </c>
      <c r="B210">
        <v>13893</v>
      </c>
      <c r="C210">
        <v>1</v>
      </c>
      <c r="D210">
        <v>1</v>
      </c>
      <c r="E210">
        <v>0</v>
      </c>
      <c r="F210" t="s">
        <v>83</v>
      </c>
    </row>
    <row r="211" spans="1:10" x14ac:dyDescent="0.25">
      <c r="A211" t="s">
        <v>47</v>
      </c>
      <c r="B211">
        <v>13448</v>
      </c>
      <c r="C211">
        <v>1</v>
      </c>
      <c r="D211">
        <v>2</v>
      </c>
      <c r="E211">
        <v>0</v>
      </c>
      <c r="F211" t="s">
        <v>268</v>
      </c>
    </row>
    <row r="212" spans="1:10" x14ac:dyDescent="0.25">
      <c r="A212" t="s">
        <v>47</v>
      </c>
      <c r="B212">
        <v>13597</v>
      </c>
      <c r="C212">
        <v>1</v>
      </c>
      <c r="D212">
        <v>2</v>
      </c>
      <c r="E212">
        <v>0</v>
      </c>
      <c r="F212" t="s">
        <v>268</v>
      </c>
    </row>
    <row r="213" spans="1:10" x14ac:dyDescent="0.25">
      <c r="A213" t="s">
        <v>47</v>
      </c>
      <c r="B213">
        <v>13762</v>
      </c>
      <c r="C213">
        <v>1</v>
      </c>
      <c r="D213">
        <v>2</v>
      </c>
      <c r="E213">
        <v>0</v>
      </c>
      <c r="F213" t="s">
        <v>268</v>
      </c>
    </row>
    <row r="214" spans="1:10" x14ac:dyDescent="0.25">
      <c r="A214" t="s">
        <v>47</v>
      </c>
      <c r="B214">
        <v>13925</v>
      </c>
      <c r="C214">
        <v>1</v>
      </c>
      <c r="D214">
        <v>2</v>
      </c>
      <c r="E214">
        <v>0</v>
      </c>
      <c r="F214" t="s">
        <v>268</v>
      </c>
    </row>
    <row r="215" spans="1:10" x14ac:dyDescent="0.25">
      <c r="A215" t="s">
        <v>47</v>
      </c>
      <c r="B215">
        <v>14095</v>
      </c>
      <c r="C215">
        <v>1</v>
      </c>
      <c r="D215">
        <v>2</v>
      </c>
      <c r="E215">
        <v>0</v>
      </c>
      <c r="F215" t="s">
        <v>268</v>
      </c>
      <c r="J215" t="s">
        <v>285</v>
      </c>
    </row>
    <row r="216" spans="1:10" x14ac:dyDescent="0.25">
      <c r="A216" t="s">
        <v>286</v>
      </c>
      <c r="B216">
        <v>9473</v>
      </c>
      <c r="C216">
        <v>1</v>
      </c>
      <c r="D216">
        <v>2</v>
      </c>
      <c r="E216">
        <v>0</v>
      </c>
      <c r="F216" t="s">
        <v>268</v>
      </c>
    </row>
    <row r="217" spans="1:10" x14ac:dyDescent="0.25">
      <c r="A217" t="s">
        <v>286</v>
      </c>
      <c r="B217">
        <v>9637</v>
      </c>
      <c r="C217">
        <v>1</v>
      </c>
      <c r="D217">
        <v>2</v>
      </c>
      <c r="E217">
        <v>0</v>
      </c>
      <c r="F217" t="s">
        <v>268</v>
      </c>
    </row>
    <row r="218" spans="1:10" x14ac:dyDescent="0.25">
      <c r="A218" t="s">
        <v>286</v>
      </c>
      <c r="B218">
        <v>9960</v>
      </c>
      <c r="C218">
        <v>1</v>
      </c>
      <c r="D218">
        <v>2</v>
      </c>
      <c r="E218">
        <v>0</v>
      </c>
      <c r="F218" t="s">
        <v>268</v>
      </c>
    </row>
    <row r="219" spans="1:10" x14ac:dyDescent="0.25">
      <c r="A219" t="s">
        <v>286</v>
      </c>
      <c r="B219">
        <v>10127</v>
      </c>
      <c r="C219">
        <v>1</v>
      </c>
      <c r="D219">
        <v>2</v>
      </c>
      <c r="E219">
        <v>0</v>
      </c>
      <c r="F219" t="s">
        <v>268</v>
      </c>
    </row>
    <row r="220" spans="1:10" x14ac:dyDescent="0.25">
      <c r="A220" t="s">
        <v>287</v>
      </c>
      <c r="B220">
        <v>11913</v>
      </c>
      <c r="C220">
        <v>2</v>
      </c>
      <c r="D220">
        <v>2</v>
      </c>
      <c r="E220">
        <v>0</v>
      </c>
      <c r="F220" t="s">
        <v>268</v>
      </c>
    </row>
    <row r="221" spans="1:10" x14ac:dyDescent="0.25">
      <c r="A221" t="s">
        <v>49</v>
      </c>
      <c r="B221">
        <v>14033</v>
      </c>
      <c r="C221">
        <v>3</v>
      </c>
      <c r="D221">
        <v>2</v>
      </c>
      <c r="E221">
        <v>0</v>
      </c>
      <c r="F221" t="s">
        <v>268</v>
      </c>
      <c r="G221">
        <v>1</v>
      </c>
    </row>
    <row r="222" spans="1:10" x14ac:dyDescent="0.25">
      <c r="A222" t="s">
        <v>49</v>
      </c>
      <c r="B222">
        <v>14553</v>
      </c>
      <c r="C222">
        <v>4</v>
      </c>
      <c r="D222">
        <v>2</v>
      </c>
      <c r="E222">
        <v>0</v>
      </c>
      <c r="F222" t="s">
        <v>268</v>
      </c>
      <c r="G222">
        <v>1</v>
      </c>
    </row>
    <row r="223" spans="1:10" x14ac:dyDescent="0.25">
      <c r="A223" t="s">
        <v>49</v>
      </c>
      <c r="B223">
        <v>14717</v>
      </c>
      <c r="C223">
        <v>4</v>
      </c>
      <c r="D223">
        <v>2</v>
      </c>
      <c r="E223">
        <v>0</v>
      </c>
      <c r="F223" t="s">
        <v>268</v>
      </c>
      <c r="G223">
        <v>1</v>
      </c>
    </row>
    <row r="224" spans="1:10" x14ac:dyDescent="0.25">
      <c r="A224" t="s">
        <v>49</v>
      </c>
      <c r="B224">
        <v>15059</v>
      </c>
      <c r="C224">
        <v>5</v>
      </c>
      <c r="D224">
        <v>2</v>
      </c>
      <c r="E224">
        <v>0</v>
      </c>
      <c r="F224" t="s">
        <v>268</v>
      </c>
      <c r="G224">
        <v>1</v>
      </c>
    </row>
    <row r="225" spans="1:10" x14ac:dyDescent="0.25">
      <c r="A225" t="s">
        <v>49</v>
      </c>
      <c r="B225">
        <v>15165</v>
      </c>
      <c r="C225">
        <v>5</v>
      </c>
      <c r="D225">
        <v>2</v>
      </c>
      <c r="E225">
        <v>0</v>
      </c>
      <c r="F225" t="s">
        <v>268</v>
      </c>
      <c r="G225">
        <v>1</v>
      </c>
    </row>
    <row r="226" spans="1:10" x14ac:dyDescent="0.25">
      <c r="A226" t="s">
        <v>49</v>
      </c>
      <c r="B226">
        <v>15320</v>
      </c>
      <c r="C226">
        <v>5</v>
      </c>
      <c r="D226">
        <v>2</v>
      </c>
      <c r="E226">
        <v>0</v>
      </c>
      <c r="F226" t="s">
        <v>268</v>
      </c>
      <c r="G226">
        <v>2</v>
      </c>
      <c r="J226">
        <v>294</v>
      </c>
    </row>
    <row r="227" spans="1:10" x14ac:dyDescent="0.25">
      <c r="A227" t="s">
        <v>286</v>
      </c>
      <c r="B227">
        <v>9426</v>
      </c>
      <c r="C227">
        <v>1</v>
      </c>
      <c r="D227">
        <v>1</v>
      </c>
      <c r="E227">
        <v>0</v>
      </c>
      <c r="F227" t="s">
        <v>83</v>
      </c>
    </row>
    <row r="228" spans="1:10" x14ac:dyDescent="0.25">
      <c r="A228" t="s">
        <v>286</v>
      </c>
      <c r="B228">
        <v>9573</v>
      </c>
      <c r="C228">
        <v>1</v>
      </c>
      <c r="D228">
        <v>1</v>
      </c>
      <c r="E228">
        <v>0</v>
      </c>
      <c r="F228" t="s">
        <v>83</v>
      </c>
    </row>
    <row r="229" spans="1:10" x14ac:dyDescent="0.25">
      <c r="A229" t="s">
        <v>286</v>
      </c>
      <c r="B229">
        <v>9726</v>
      </c>
      <c r="C229">
        <v>1</v>
      </c>
      <c r="D229">
        <v>1</v>
      </c>
      <c r="E229">
        <v>0</v>
      </c>
      <c r="F229" t="s">
        <v>83</v>
      </c>
    </row>
    <row r="230" spans="1:10" x14ac:dyDescent="0.25">
      <c r="A230" t="s">
        <v>286</v>
      </c>
      <c r="B230">
        <v>9900</v>
      </c>
      <c r="C230">
        <v>1</v>
      </c>
      <c r="D230">
        <v>1</v>
      </c>
      <c r="E230">
        <v>0</v>
      </c>
      <c r="F230" t="s">
        <v>83</v>
      </c>
    </row>
    <row r="231" spans="1:10" x14ac:dyDescent="0.25">
      <c r="A231" t="s">
        <v>49</v>
      </c>
      <c r="B231">
        <v>14572</v>
      </c>
      <c r="C231">
        <v>1</v>
      </c>
      <c r="D231">
        <v>1</v>
      </c>
      <c r="E231">
        <v>0</v>
      </c>
      <c r="F231" t="s">
        <v>83</v>
      </c>
      <c r="G231">
        <v>1</v>
      </c>
    </row>
    <row r="232" spans="1:10" x14ac:dyDescent="0.25">
      <c r="A232" t="s">
        <v>51</v>
      </c>
      <c r="B232">
        <v>13309</v>
      </c>
      <c r="C232">
        <v>1</v>
      </c>
      <c r="D232">
        <v>2</v>
      </c>
      <c r="E232">
        <v>0</v>
      </c>
      <c r="F232" t="s">
        <v>268</v>
      </c>
    </row>
    <row r="233" spans="1:10" x14ac:dyDescent="0.25">
      <c r="A233" t="s">
        <v>51</v>
      </c>
      <c r="B233">
        <v>13471</v>
      </c>
      <c r="C233">
        <v>1</v>
      </c>
      <c r="D233">
        <v>2</v>
      </c>
      <c r="E233">
        <v>0</v>
      </c>
      <c r="F233" t="s">
        <v>268</v>
      </c>
    </row>
    <row r="234" spans="1:10" x14ac:dyDescent="0.25">
      <c r="A234" t="s">
        <v>51</v>
      </c>
      <c r="B234">
        <v>13630</v>
      </c>
      <c r="C234">
        <v>1</v>
      </c>
      <c r="D234">
        <v>2</v>
      </c>
      <c r="E234">
        <v>0</v>
      </c>
      <c r="F234" t="s">
        <v>268</v>
      </c>
    </row>
    <row r="235" spans="1:10" x14ac:dyDescent="0.25">
      <c r="A235" t="s">
        <v>51</v>
      </c>
      <c r="B235">
        <v>13796</v>
      </c>
      <c r="C235">
        <v>1</v>
      </c>
      <c r="D235">
        <v>2</v>
      </c>
      <c r="E235">
        <v>0</v>
      </c>
      <c r="F235" t="s">
        <v>268</v>
      </c>
    </row>
    <row r="236" spans="1:10" x14ac:dyDescent="0.25">
      <c r="A236" t="s">
        <v>51</v>
      </c>
      <c r="B236">
        <v>13962</v>
      </c>
      <c r="C236">
        <v>1</v>
      </c>
      <c r="D236">
        <v>2</v>
      </c>
      <c r="E236">
        <v>0</v>
      </c>
      <c r="F236" t="s">
        <v>268</v>
      </c>
    </row>
    <row r="237" spans="1:10" x14ac:dyDescent="0.25">
      <c r="A237" t="s">
        <v>51</v>
      </c>
      <c r="B237">
        <v>14123</v>
      </c>
      <c r="C237">
        <v>2</v>
      </c>
      <c r="D237">
        <v>2</v>
      </c>
      <c r="E237">
        <v>0</v>
      </c>
      <c r="F237" t="s">
        <v>268</v>
      </c>
      <c r="J237" t="s">
        <v>289</v>
      </c>
    </row>
    <row r="238" spans="1:10" x14ac:dyDescent="0.25">
      <c r="A238" t="s">
        <v>53</v>
      </c>
      <c r="B238">
        <v>14453</v>
      </c>
      <c r="C238">
        <v>3</v>
      </c>
      <c r="D238">
        <v>2</v>
      </c>
      <c r="E238">
        <v>0</v>
      </c>
      <c r="F238" t="s">
        <v>268</v>
      </c>
      <c r="G238">
        <v>1</v>
      </c>
      <c r="J238">
        <v>294</v>
      </c>
    </row>
    <row r="239" spans="1:10" x14ac:dyDescent="0.25">
      <c r="A239" t="s">
        <v>51</v>
      </c>
      <c r="B239">
        <v>13321</v>
      </c>
      <c r="C239">
        <v>1</v>
      </c>
      <c r="D239">
        <v>1</v>
      </c>
      <c r="E239">
        <v>0</v>
      </c>
      <c r="F239" t="s">
        <v>83</v>
      </c>
    </row>
    <row r="240" spans="1:10" x14ac:dyDescent="0.25">
      <c r="A240" t="s">
        <v>51</v>
      </c>
      <c r="B240">
        <v>13472</v>
      </c>
      <c r="C240">
        <v>1</v>
      </c>
      <c r="D240">
        <v>1</v>
      </c>
      <c r="E240">
        <v>0</v>
      </c>
      <c r="F240" t="s">
        <v>83</v>
      </c>
    </row>
    <row r="241" spans="1:10" x14ac:dyDescent="0.25">
      <c r="A241" t="s">
        <v>51</v>
      </c>
      <c r="B241">
        <v>13631</v>
      </c>
      <c r="C241">
        <v>1</v>
      </c>
      <c r="D241">
        <v>1</v>
      </c>
      <c r="E241">
        <v>0</v>
      </c>
      <c r="F241" t="s">
        <v>83</v>
      </c>
    </row>
    <row r="242" spans="1:10" x14ac:dyDescent="0.25">
      <c r="A242" t="s">
        <v>51</v>
      </c>
      <c r="B242">
        <v>13831</v>
      </c>
      <c r="C242">
        <v>1</v>
      </c>
      <c r="D242">
        <v>1</v>
      </c>
      <c r="E242">
        <v>0</v>
      </c>
      <c r="F242" t="s">
        <v>83</v>
      </c>
    </row>
    <row r="243" spans="1:10" x14ac:dyDescent="0.25">
      <c r="A243" t="s">
        <v>51</v>
      </c>
      <c r="B243">
        <v>13995</v>
      </c>
      <c r="C243">
        <v>2</v>
      </c>
      <c r="D243">
        <v>1</v>
      </c>
      <c r="E243">
        <v>0</v>
      </c>
      <c r="F243" t="s">
        <v>83</v>
      </c>
    </row>
    <row r="244" spans="1:10" x14ac:dyDescent="0.25">
      <c r="A244" t="s">
        <v>51</v>
      </c>
      <c r="B244">
        <v>14158</v>
      </c>
      <c r="C244">
        <v>2</v>
      </c>
      <c r="D244">
        <v>1</v>
      </c>
      <c r="E244">
        <v>0</v>
      </c>
      <c r="F244" t="s">
        <v>83</v>
      </c>
    </row>
    <row r="245" spans="1:10" x14ac:dyDescent="0.25">
      <c r="A245" t="s">
        <v>53</v>
      </c>
      <c r="B245">
        <v>14327</v>
      </c>
      <c r="C245">
        <v>3</v>
      </c>
      <c r="D245">
        <v>1</v>
      </c>
      <c r="E245">
        <v>0</v>
      </c>
      <c r="F245" t="s">
        <v>83</v>
      </c>
      <c r="G245">
        <v>1</v>
      </c>
    </row>
    <row r="246" spans="1:10" x14ac:dyDescent="0.25">
      <c r="A246" t="s">
        <v>53</v>
      </c>
      <c r="B246">
        <v>14486</v>
      </c>
      <c r="C246">
        <v>3</v>
      </c>
      <c r="D246">
        <v>1</v>
      </c>
      <c r="E246">
        <v>0</v>
      </c>
      <c r="F246" t="s">
        <v>83</v>
      </c>
      <c r="G246">
        <v>1</v>
      </c>
    </row>
    <row r="247" spans="1:10" x14ac:dyDescent="0.25">
      <c r="A247" t="s">
        <v>53</v>
      </c>
      <c r="B247">
        <v>14823</v>
      </c>
      <c r="C247">
        <v>4</v>
      </c>
      <c r="D247">
        <v>2</v>
      </c>
      <c r="E247">
        <v>0</v>
      </c>
      <c r="F247" t="s">
        <v>268</v>
      </c>
      <c r="G247">
        <v>2</v>
      </c>
      <c r="J247">
        <v>280</v>
      </c>
    </row>
    <row r="248" spans="1:10" x14ac:dyDescent="0.25">
      <c r="A248" t="s">
        <v>53</v>
      </c>
      <c r="B248">
        <v>14893</v>
      </c>
      <c r="C248">
        <v>4</v>
      </c>
      <c r="D248">
        <v>1</v>
      </c>
      <c r="E248">
        <v>0</v>
      </c>
      <c r="F248" t="s">
        <v>83</v>
      </c>
      <c r="G248">
        <v>2</v>
      </c>
    </row>
    <row r="249" spans="1:10" x14ac:dyDescent="0.25">
      <c r="A249" t="s">
        <v>56</v>
      </c>
      <c r="B249">
        <v>13699</v>
      </c>
      <c r="C249">
        <v>1</v>
      </c>
      <c r="D249">
        <v>2</v>
      </c>
      <c r="E249">
        <v>0</v>
      </c>
      <c r="F249" t="s">
        <v>268</v>
      </c>
      <c r="J249">
        <v>294</v>
      </c>
    </row>
    <row r="250" spans="1:10" x14ac:dyDescent="0.25">
      <c r="A250" t="s">
        <v>56</v>
      </c>
      <c r="B250">
        <v>13862</v>
      </c>
      <c r="C250">
        <v>1</v>
      </c>
      <c r="D250">
        <v>2</v>
      </c>
      <c r="E250">
        <v>0</v>
      </c>
      <c r="F250" t="s">
        <v>268</v>
      </c>
      <c r="J250">
        <v>294</v>
      </c>
    </row>
    <row r="251" spans="1:10" x14ac:dyDescent="0.25">
      <c r="A251" t="s">
        <v>51</v>
      </c>
      <c r="B251">
        <v>13541</v>
      </c>
      <c r="C251">
        <v>1</v>
      </c>
      <c r="D251">
        <v>1</v>
      </c>
      <c r="E251">
        <v>0</v>
      </c>
      <c r="F251" t="s">
        <v>149</v>
      </c>
    </row>
    <row r="252" spans="1:10" x14ac:dyDescent="0.25">
      <c r="A252" t="s">
        <v>56</v>
      </c>
      <c r="B252">
        <v>13696</v>
      </c>
      <c r="C252">
        <v>1</v>
      </c>
      <c r="D252">
        <v>1</v>
      </c>
      <c r="E252">
        <v>0</v>
      </c>
      <c r="F252" t="s">
        <v>83</v>
      </c>
      <c r="J252">
        <v>280</v>
      </c>
    </row>
    <row r="253" spans="1:10" x14ac:dyDescent="0.25">
      <c r="A253" t="s">
        <v>56</v>
      </c>
      <c r="B253">
        <v>13859</v>
      </c>
      <c r="C253">
        <v>1</v>
      </c>
      <c r="D253">
        <v>1</v>
      </c>
      <c r="E253">
        <v>0</v>
      </c>
      <c r="F253" t="s">
        <v>83</v>
      </c>
      <c r="J253">
        <v>280</v>
      </c>
    </row>
    <row r="254" spans="1:10" x14ac:dyDescent="0.25">
      <c r="A254" t="s">
        <v>56</v>
      </c>
      <c r="B254">
        <v>14026</v>
      </c>
      <c r="C254">
        <v>1</v>
      </c>
      <c r="D254">
        <v>1</v>
      </c>
      <c r="E254">
        <v>0</v>
      </c>
      <c r="F254" t="s">
        <v>83</v>
      </c>
      <c r="H254" t="s">
        <v>108</v>
      </c>
      <c r="J254">
        <v>280</v>
      </c>
    </row>
    <row r="255" spans="1:10" x14ac:dyDescent="0.25">
      <c r="A255" t="s">
        <v>53</v>
      </c>
      <c r="B255">
        <v>14688</v>
      </c>
      <c r="C255">
        <v>3</v>
      </c>
      <c r="D255">
        <v>1</v>
      </c>
      <c r="E255">
        <v>0</v>
      </c>
      <c r="F255" t="s">
        <v>149</v>
      </c>
      <c r="J255" t="s">
        <v>108</v>
      </c>
    </row>
    <row r="256" spans="1:10" x14ac:dyDescent="0.25">
      <c r="A256" t="s">
        <v>287</v>
      </c>
      <c r="B256">
        <v>14027</v>
      </c>
      <c r="C256">
        <v>1</v>
      </c>
      <c r="D256">
        <v>1</v>
      </c>
      <c r="E256">
        <v>0</v>
      </c>
      <c r="F256" t="s">
        <v>83</v>
      </c>
      <c r="J256" t="s">
        <v>285</v>
      </c>
    </row>
    <row r="257" spans="1:10" x14ac:dyDescent="0.25">
      <c r="A257" t="s">
        <v>57</v>
      </c>
      <c r="B257">
        <v>14357</v>
      </c>
      <c r="C257">
        <v>2</v>
      </c>
      <c r="D257">
        <v>1</v>
      </c>
      <c r="E257">
        <v>0</v>
      </c>
      <c r="F257" t="s">
        <v>83</v>
      </c>
      <c r="J257" t="s">
        <v>285</v>
      </c>
    </row>
    <row r="258" spans="1:10" x14ac:dyDescent="0.25">
      <c r="A258" t="s">
        <v>57</v>
      </c>
      <c r="B258">
        <v>14090</v>
      </c>
      <c r="C258">
        <v>1</v>
      </c>
      <c r="D258">
        <v>2</v>
      </c>
      <c r="E258">
        <v>0</v>
      </c>
      <c r="F258" t="s">
        <v>268</v>
      </c>
      <c r="G258">
        <v>1</v>
      </c>
      <c r="J258" t="s">
        <v>294</v>
      </c>
    </row>
    <row r="259" spans="1:10" x14ac:dyDescent="0.25">
      <c r="A259" t="s">
        <v>57</v>
      </c>
      <c r="B259">
        <v>14257</v>
      </c>
      <c r="C259">
        <v>1</v>
      </c>
      <c r="D259">
        <v>2</v>
      </c>
      <c r="E259">
        <v>0</v>
      </c>
      <c r="F259" t="s">
        <v>268</v>
      </c>
      <c r="G259">
        <v>1</v>
      </c>
      <c r="J259" t="s">
        <v>294</v>
      </c>
    </row>
    <row r="260" spans="1:10" x14ac:dyDescent="0.25">
      <c r="A260" t="s">
        <v>57</v>
      </c>
      <c r="B260">
        <v>14420</v>
      </c>
      <c r="C260">
        <v>2</v>
      </c>
      <c r="D260">
        <v>2</v>
      </c>
      <c r="E260">
        <v>0</v>
      </c>
      <c r="F260" t="s">
        <v>268</v>
      </c>
      <c r="G260">
        <v>2</v>
      </c>
      <c r="J260" t="s">
        <v>295</v>
      </c>
    </row>
    <row r="261" spans="1:10" x14ac:dyDescent="0.25">
      <c r="A261" t="s">
        <v>57</v>
      </c>
      <c r="B261">
        <v>15220</v>
      </c>
      <c r="C261">
        <v>3</v>
      </c>
      <c r="D261">
        <v>2</v>
      </c>
      <c r="E261">
        <v>0</v>
      </c>
      <c r="F261" t="s">
        <v>268</v>
      </c>
      <c r="G261">
        <v>3</v>
      </c>
      <c r="J261" t="s">
        <v>296</v>
      </c>
    </row>
    <row r="262" spans="1:10" x14ac:dyDescent="0.25">
      <c r="A262" t="s">
        <v>63</v>
      </c>
      <c r="B262">
        <v>18315</v>
      </c>
      <c r="C262">
        <v>1</v>
      </c>
      <c r="D262">
        <v>2</v>
      </c>
      <c r="E262">
        <v>0</v>
      </c>
      <c r="F262" t="s">
        <v>268</v>
      </c>
      <c r="J262" t="s">
        <v>299</v>
      </c>
    </row>
    <row r="263" spans="1:10" x14ac:dyDescent="0.25">
      <c r="A263" t="s">
        <v>63</v>
      </c>
      <c r="B263">
        <v>18482</v>
      </c>
      <c r="C263">
        <v>1</v>
      </c>
      <c r="D263">
        <v>2</v>
      </c>
      <c r="E263">
        <v>0</v>
      </c>
      <c r="F263" t="s">
        <v>268</v>
      </c>
      <c r="J263" t="s">
        <v>299</v>
      </c>
    </row>
    <row r="264" spans="1:10" x14ac:dyDescent="0.25">
      <c r="A264" t="s">
        <v>63</v>
      </c>
      <c r="B264">
        <v>18547</v>
      </c>
      <c r="C264">
        <v>1</v>
      </c>
      <c r="D264">
        <v>2</v>
      </c>
      <c r="E264">
        <v>0</v>
      </c>
      <c r="F264" t="s">
        <v>268</v>
      </c>
      <c r="J264" t="s">
        <v>299</v>
      </c>
    </row>
    <row r="265" spans="1:10" x14ac:dyDescent="0.25">
      <c r="A265" t="s">
        <v>154</v>
      </c>
      <c r="B265">
        <v>18420</v>
      </c>
      <c r="C265">
        <v>3</v>
      </c>
      <c r="D265">
        <v>2</v>
      </c>
      <c r="E265">
        <v>0</v>
      </c>
      <c r="F265" t="s">
        <v>268</v>
      </c>
    </row>
    <row r="266" spans="1:10" x14ac:dyDescent="0.25">
      <c r="A266" t="s">
        <v>154</v>
      </c>
      <c r="B266">
        <v>18581</v>
      </c>
      <c r="C266">
        <v>3</v>
      </c>
      <c r="D266">
        <v>2</v>
      </c>
      <c r="E266">
        <v>0</v>
      </c>
      <c r="F266" t="s">
        <v>268</v>
      </c>
    </row>
    <row r="267" spans="1:10" x14ac:dyDescent="0.25">
      <c r="A267" t="s">
        <v>68</v>
      </c>
      <c r="B267">
        <v>17628</v>
      </c>
      <c r="C267">
        <v>1</v>
      </c>
      <c r="D267">
        <v>2</v>
      </c>
      <c r="E267">
        <v>0</v>
      </c>
      <c r="F267" t="s">
        <v>268</v>
      </c>
      <c r="G267">
        <v>1</v>
      </c>
      <c r="J267" t="s">
        <v>301</v>
      </c>
    </row>
    <row r="268" spans="1:10" x14ac:dyDescent="0.25">
      <c r="A268" t="s">
        <v>68</v>
      </c>
      <c r="B268">
        <v>17790</v>
      </c>
      <c r="C268">
        <v>1</v>
      </c>
      <c r="D268">
        <v>2</v>
      </c>
      <c r="E268">
        <v>0</v>
      </c>
      <c r="F268" t="s">
        <v>268</v>
      </c>
      <c r="G268">
        <v>1</v>
      </c>
      <c r="J268" t="s">
        <v>301</v>
      </c>
    </row>
    <row r="269" spans="1:10" x14ac:dyDescent="0.25">
      <c r="A269" t="s">
        <v>68</v>
      </c>
      <c r="B269">
        <v>17955</v>
      </c>
      <c r="C269">
        <v>1</v>
      </c>
      <c r="D269">
        <v>2</v>
      </c>
      <c r="E269">
        <v>0</v>
      </c>
      <c r="F269" t="s">
        <v>268</v>
      </c>
      <c r="G269">
        <v>1</v>
      </c>
      <c r="J269" t="s">
        <v>301</v>
      </c>
    </row>
    <row r="270" spans="1:10" x14ac:dyDescent="0.25">
      <c r="A270" t="s">
        <v>68</v>
      </c>
      <c r="B270">
        <v>18618</v>
      </c>
      <c r="C270">
        <v>2</v>
      </c>
      <c r="D270">
        <v>2</v>
      </c>
      <c r="E270">
        <v>0</v>
      </c>
      <c r="F270" t="s">
        <v>268</v>
      </c>
      <c r="G270">
        <v>2</v>
      </c>
      <c r="J270" t="s">
        <v>300</v>
      </c>
    </row>
    <row r="271" spans="1:10" x14ac:dyDescent="0.25">
      <c r="A271" t="s">
        <v>68</v>
      </c>
      <c r="B271">
        <v>18782</v>
      </c>
      <c r="C271">
        <v>2</v>
      </c>
      <c r="D271">
        <v>2</v>
      </c>
      <c r="E271">
        <v>0</v>
      </c>
      <c r="F271" t="s">
        <v>268</v>
      </c>
      <c r="G271">
        <v>2</v>
      </c>
      <c r="J271" t="s">
        <v>300</v>
      </c>
    </row>
    <row r="272" spans="1:10" x14ac:dyDescent="0.25">
      <c r="A272" t="s">
        <v>68</v>
      </c>
      <c r="B272">
        <v>18948</v>
      </c>
      <c r="C272">
        <v>2</v>
      </c>
      <c r="D272">
        <v>2</v>
      </c>
      <c r="E272">
        <v>0</v>
      </c>
      <c r="F272" t="s">
        <v>268</v>
      </c>
      <c r="G272">
        <v>2</v>
      </c>
      <c r="J272" t="s">
        <v>300</v>
      </c>
    </row>
    <row r="273" spans="1:6" x14ac:dyDescent="0.25">
      <c r="A273" t="s">
        <v>69</v>
      </c>
      <c r="B273">
        <v>18648</v>
      </c>
      <c r="C273">
        <v>2</v>
      </c>
      <c r="D273">
        <v>2</v>
      </c>
      <c r="E273">
        <v>1</v>
      </c>
      <c r="F273" t="s">
        <v>268</v>
      </c>
    </row>
    <row r="274" spans="1:6" x14ac:dyDescent="0.25">
      <c r="A274" t="s">
        <v>73</v>
      </c>
      <c r="B274">
        <v>20569</v>
      </c>
      <c r="C274">
        <v>1</v>
      </c>
      <c r="D274">
        <v>2</v>
      </c>
      <c r="E274">
        <v>0</v>
      </c>
      <c r="F274" t="s">
        <v>268</v>
      </c>
    </row>
    <row r="275" spans="1:6" x14ac:dyDescent="0.25">
      <c r="A275" t="s">
        <v>73</v>
      </c>
      <c r="B275">
        <v>20733</v>
      </c>
      <c r="C275">
        <v>1</v>
      </c>
      <c r="D275">
        <v>2</v>
      </c>
      <c r="E275">
        <v>1</v>
      </c>
      <c r="F275" t="s">
        <v>268</v>
      </c>
    </row>
    <row r="276" spans="1:6" x14ac:dyDescent="0.25">
      <c r="A276" t="s">
        <v>73</v>
      </c>
      <c r="B276">
        <v>20899</v>
      </c>
      <c r="C276">
        <v>1</v>
      </c>
      <c r="D276">
        <v>2</v>
      </c>
      <c r="E276">
        <v>1</v>
      </c>
      <c r="F276" t="s">
        <v>268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E11EA-2936-43B0-A0E7-BCD1C3337C41}">
  <dimension ref="A1"/>
  <sheetViews>
    <sheetView workbookViewId="0"/>
  </sheetViews>
  <sheetFormatPr defaultColWidth="8.75" defaultRowHeight="16.5" x14ac:dyDescent="0.25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3FE90-09BA-46FC-B714-59903BDD25AC}">
  <dimension ref="A1:B15"/>
  <sheetViews>
    <sheetView workbookViewId="0">
      <selection activeCell="B15" sqref="B15"/>
    </sheetView>
  </sheetViews>
  <sheetFormatPr defaultColWidth="8.75" defaultRowHeight="16.5" x14ac:dyDescent="0.25"/>
  <cols>
    <col min="1" max="1" width="22" customWidth="1"/>
    <col min="2" max="2" width="47.125" customWidth="1"/>
  </cols>
  <sheetData>
    <row r="1" spans="1:2" x14ac:dyDescent="0.25">
      <c r="A1" t="s">
        <v>16</v>
      </c>
      <c r="B1" t="s">
        <v>17</v>
      </c>
    </row>
    <row r="2" spans="1:2" x14ac:dyDescent="0.25">
      <c r="A2" t="s">
        <v>15</v>
      </c>
      <c r="B2" s="1">
        <v>45491</v>
      </c>
    </row>
    <row r="3" spans="1:2" x14ac:dyDescent="0.25">
      <c r="A3" t="s">
        <v>18</v>
      </c>
      <c r="B3" t="s">
        <v>19</v>
      </c>
    </row>
    <row r="4" spans="1:2" x14ac:dyDescent="0.25">
      <c r="A4" t="s">
        <v>20</v>
      </c>
      <c r="B4" t="s">
        <v>21</v>
      </c>
    </row>
    <row r="10" spans="1:2" x14ac:dyDescent="0.25">
      <c r="A10" t="s">
        <v>112</v>
      </c>
    </row>
    <row r="11" spans="1:2" ht="66" x14ac:dyDescent="0.25">
      <c r="B11" s="3" t="s">
        <v>113</v>
      </c>
    </row>
    <row r="13" spans="1:2" x14ac:dyDescent="0.25">
      <c r="B13" t="s">
        <v>163</v>
      </c>
    </row>
    <row r="14" spans="1:2" x14ac:dyDescent="0.25">
      <c r="B14" s="5" t="s">
        <v>168</v>
      </c>
    </row>
    <row r="15" spans="1:2" x14ac:dyDescent="0.25">
      <c r="B15" t="s">
        <v>169</v>
      </c>
    </row>
  </sheetData>
  <phoneticPr fontId="2" type="noConversion"/>
  <hyperlinks>
    <hyperlink ref="B14" r:id="rId1" xr:uid="{B1A90598-BDB0-0B4E-8BD5-D19E63959C3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6264D-C27F-4AD5-963C-3034536B9C46}">
  <dimension ref="A1:H52"/>
  <sheetViews>
    <sheetView topLeftCell="A34" workbookViewId="0">
      <selection activeCell="F56" sqref="F56"/>
    </sheetView>
  </sheetViews>
  <sheetFormatPr defaultColWidth="8.75" defaultRowHeight="16.5" x14ac:dyDescent="0.25"/>
  <cols>
    <col min="1" max="1" width="17" customWidth="1"/>
    <col min="2" max="2" width="13.625" customWidth="1"/>
    <col min="3" max="3" width="10.125" customWidth="1"/>
    <col min="4" max="4" width="35.75" customWidth="1"/>
    <col min="5" max="5" width="17.25" customWidth="1"/>
  </cols>
  <sheetData>
    <row r="1" spans="1:8" x14ac:dyDescent="0.25">
      <c r="A1" t="s">
        <v>117</v>
      </c>
      <c r="B1" t="s">
        <v>118</v>
      </c>
      <c r="C1" t="s">
        <v>119</v>
      </c>
      <c r="D1" t="s">
        <v>120</v>
      </c>
      <c r="E1" t="s">
        <v>123</v>
      </c>
      <c r="F1" t="s">
        <v>129</v>
      </c>
      <c r="G1" t="s">
        <v>130</v>
      </c>
      <c r="H1" t="s">
        <v>131</v>
      </c>
    </row>
    <row r="2" spans="1:8" x14ac:dyDescent="0.25">
      <c r="A2" t="s">
        <v>121</v>
      </c>
      <c r="B2" t="s">
        <v>122</v>
      </c>
      <c r="C2">
        <v>187.09649999999999</v>
      </c>
      <c r="E2" t="s">
        <v>124</v>
      </c>
    </row>
    <row r="3" spans="1:8" x14ac:dyDescent="0.25">
      <c r="A3" t="s">
        <v>180</v>
      </c>
      <c r="B3" t="s">
        <v>122</v>
      </c>
      <c r="C3">
        <v>209.12270000000001</v>
      </c>
    </row>
    <row r="4" spans="1:8" x14ac:dyDescent="0.25">
      <c r="A4" t="s">
        <v>146</v>
      </c>
      <c r="B4" t="s">
        <v>122</v>
      </c>
      <c r="C4">
        <v>228.12299999999999</v>
      </c>
      <c r="D4" t="s">
        <v>145</v>
      </c>
    </row>
    <row r="5" spans="1:8" x14ac:dyDescent="0.25">
      <c r="C5">
        <v>246.1336</v>
      </c>
      <c r="D5" t="s">
        <v>167</v>
      </c>
    </row>
    <row r="6" spans="1:8" x14ac:dyDescent="0.25">
      <c r="A6" t="s">
        <v>146</v>
      </c>
      <c r="B6" t="s">
        <v>122</v>
      </c>
      <c r="C6">
        <v>260.14920000000001</v>
      </c>
    </row>
    <row r="7" spans="1:8" x14ac:dyDescent="0.25">
      <c r="A7" t="s">
        <v>126</v>
      </c>
      <c r="B7" t="s">
        <v>144</v>
      </c>
      <c r="C7">
        <v>262.16489999999999</v>
      </c>
      <c r="D7" t="s">
        <v>133</v>
      </c>
    </row>
    <row r="8" spans="1:8" x14ac:dyDescent="0.25">
      <c r="B8" t="s">
        <v>143</v>
      </c>
      <c r="C8">
        <v>264.14420000000001</v>
      </c>
      <c r="D8" t="s">
        <v>200</v>
      </c>
    </row>
    <row r="9" spans="1:8" x14ac:dyDescent="0.25">
      <c r="A9" t="s">
        <v>126</v>
      </c>
      <c r="B9" t="s">
        <v>125</v>
      </c>
      <c r="C9">
        <v>276.18049999999999</v>
      </c>
      <c r="D9" t="s">
        <v>127</v>
      </c>
    </row>
    <row r="10" spans="1:8" x14ac:dyDescent="0.25">
      <c r="B10" t="s">
        <v>143</v>
      </c>
      <c r="C10">
        <v>278.15980000000002</v>
      </c>
      <c r="D10" t="s">
        <v>201</v>
      </c>
    </row>
    <row r="11" spans="1:8" x14ac:dyDescent="0.25">
      <c r="A11" t="s">
        <v>126</v>
      </c>
      <c r="B11" t="s">
        <v>143</v>
      </c>
      <c r="C11">
        <v>280.1755</v>
      </c>
      <c r="D11" t="s">
        <v>142</v>
      </c>
    </row>
    <row r="12" spans="1:8" x14ac:dyDescent="0.25">
      <c r="A12" t="s">
        <v>126</v>
      </c>
      <c r="B12" t="s">
        <v>128</v>
      </c>
      <c r="C12">
        <v>294.19110000000001</v>
      </c>
      <c r="D12" t="s">
        <v>127</v>
      </c>
    </row>
    <row r="13" spans="1:8" x14ac:dyDescent="0.25">
      <c r="C13">
        <v>303.1438</v>
      </c>
    </row>
    <row r="14" spans="1:8" x14ac:dyDescent="0.25">
      <c r="C14">
        <v>335.17</v>
      </c>
      <c r="E14">
        <f>C14-C13</f>
        <v>32.026200000000017</v>
      </c>
    </row>
    <row r="15" spans="1:8" x14ac:dyDescent="0.25">
      <c r="A15" t="s">
        <v>165</v>
      </c>
      <c r="C15">
        <v>344.17039999999997</v>
      </c>
      <c r="D15" t="s">
        <v>164</v>
      </c>
    </row>
    <row r="16" spans="1:8" x14ac:dyDescent="0.25">
      <c r="C16">
        <v>374.18099999999998</v>
      </c>
    </row>
    <row r="17" spans="1:5" x14ac:dyDescent="0.25">
      <c r="A17" t="s">
        <v>166</v>
      </c>
      <c r="C17">
        <v>376.19659999999999</v>
      </c>
      <c r="E17">
        <f>C17-C16</f>
        <v>2.0156000000000063</v>
      </c>
    </row>
    <row r="18" spans="1:5" x14ac:dyDescent="0.25">
      <c r="C18">
        <v>406.2072</v>
      </c>
      <c r="E18">
        <f>C18-C17</f>
        <v>30.010600000000011</v>
      </c>
    </row>
    <row r="19" spans="1:5" x14ac:dyDescent="0.25">
      <c r="A19" t="s">
        <v>181</v>
      </c>
      <c r="B19" t="s">
        <v>182</v>
      </c>
      <c r="C19">
        <v>420.22280000000001</v>
      </c>
      <c r="D19" t="s">
        <v>172</v>
      </c>
    </row>
    <row r="20" spans="1:5" x14ac:dyDescent="0.25">
      <c r="C20">
        <v>432.22280000000001</v>
      </c>
      <c r="D20" t="s">
        <v>191</v>
      </c>
    </row>
    <row r="21" spans="1:5" x14ac:dyDescent="0.25">
      <c r="B21" t="s">
        <v>122</v>
      </c>
      <c r="C21">
        <v>434.23849999999999</v>
      </c>
      <c r="D21" t="s">
        <v>170</v>
      </c>
    </row>
    <row r="22" spans="1:5" x14ac:dyDescent="0.25">
      <c r="A22" t="s">
        <v>183</v>
      </c>
      <c r="B22" t="s">
        <v>182</v>
      </c>
      <c r="C22">
        <v>450.23340000000002</v>
      </c>
    </row>
    <row r="23" spans="1:5" x14ac:dyDescent="0.25">
      <c r="A23" t="s">
        <v>183</v>
      </c>
      <c r="B23" t="s">
        <v>122</v>
      </c>
      <c r="C23">
        <v>464.24900000000002</v>
      </c>
    </row>
    <row r="24" spans="1:5" x14ac:dyDescent="0.25">
      <c r="C24">
        <v>482.25959999999998</v>
      </c>
      <c r="D24" t="s">
        <v>202</v>
      </c>
    </row>
    <row r="25" spans="1:5" x14ac:dyDescent="0.25">
      <c r="B25" t="s">
        <v>143</v>
      </c>
      <c r="C25">
        <v>484.27519999999998</v>
      </c>
      <c r="D25" t="s">
        <v>158</v>
      </c>
    </row>
    <row r="26" spans="1:5" x14ac:dyDescent="0.25">
      <c r="B26" t="s">
        <v>171</v>
      </c>
      <c r="C26">
        <v>491.25990000000002</v>
      </c>
      <c r="D26" t="s">
        <v>203</v>
      </c>
    </row>
    <row r="27" spans="1:5" x14ac:dyDescent="0.25">
      <c r="C27">
        <v>498.29090000000002</v>
      </c>
    </row>
    <row r="28" spans="1:5" x14ac:dyDescent="0.25">
      <c r="B28" t="s">
        <v>122</v>
      </c>
      <c r="C28">
        <v>505.2756</v>
      </c>
      <c r="D28" t="s">
        <v>195</v>
      </c>
      <c r="E28" t="s">
        <v>162</v>
      </c>
    </row>
    <row r="29" spans="1:5" x14ac:dyDescent="0.25">
      <c r="C29">
        <v>525.30179999999996</v>
      </c>
      <c r="D29" t="s">
        <v>161</v>
      </c>
      <c r="E29" t="s">
        <v>162</v>
      </c>
    </row>
    <row r="30" spans="1:5" x14ac:dyDescent="0.25">
      <c r="B30" t="s">
        <v>122</v>
      </c>
      <c r="C30">
        <v>539.26980000000003</v>
      </c>
      <c r="D30" t="s">
        <v>174</v>
      </c>
    </row>
    <row r="31" spans="1:5" x14ac:dyDescent="0.25">
      <c r="C31">
        <v>539.31740000000002</v>
      </c>
      <c r="D31" t="s">
        <v>159</v>
      </c>
      <c r="E31" t="s">
        <v>162</v>
      </c>
    </row>
    <row r="32" spans="1:5" x14ac:dyDescent="0.25">
      <c r="B32" t="s">
        <v>171</v>
      </c>
      <c r="C32">
        <v>566.28070000000002</v>
      </c>
      <c r="D32" t="s">
        <v>175</v>
      </c>
    </row>
    <row r="33" spans="1:5" x14ac:dyDescent="0.25">
      <c r="B33" t="s">
        <v>122</v>
      </c>
      <c r="C33">
        <v>580.29639999999995</v>
      </c>
      <c r="D33" t="s">
        <v>175</v>
      </c>
    </row>
    <row r="34" spans="1:5" x14ac:dyDescent="0.25">
      <c r="B34" t="s">
        <v>171</v>
      </c>
      <c r="C34">
        <v>596.29129999999998</v>
      </c>
      <c r="D34" t="s">
        <v>176</v>
      </c>
    </row>
    <row r="35" spans="1:5" x14ac:dyDescent="0.25">
      <c r="B35" t="s">
        <v>122</v>
      </c>
      <c r="C35">
        <v>610.30690000000004</v>
      </c>
      <c r="D35" t="s">
        <v>176</v>
      </c>
    </row>
    <row r="36" spans="1:5" x14ac:dyDescent="0.25">
      <c r="B36" t="s">
        <v>128</v>
      </c>
      <c r="C36">
        <v>614.33820000000003</v>
      </c>
      <c r="D36" t="s">
        <v>173</v>
      </c>
    </row>
    <row r="37" spans="1:5" x14ac:dyDescent="0.25">
      <c r="B37" t="s">
        <v>171</v>
      </c>
      <c r="C37">
        <v>624.32259999999997</v>
      </c>
      <c r="D37" t="s">
        <v>204</v>
      </c>
    </row>
    <row r="38" spans="1:5" x14ac:dyDescent="0.25">
      <c r="A38" t="s">
        <v>184</v>
      </c>
      <c r="B38" t="s">
        <v>122</v>
      </c>
      <c r="C38">
        <v>638.33820000000003</v>
      </c>
    </row>
    <row r="39" spans="1:5" x14ac:dyDescent="0.25">
      <c r="B39" t="s">
        <v>122</v>
      </c>
      <c r="C39">
        <v>655.31719999999996</v>
      </c>
      <c r="D39" t="s">
        <v>193</v>
      </c>
    </row>
    <row r="40" spans="1:5" x14ac:dyDescent="0.25">
      <c r="C40">
        <v>655.36479999999995</v>
      </c>
      <c r="D40" t="s">
        <v>140</v>
      </c>
    </row>
    <row r="41" spans="1:5" x14ac:dyDescent="0.25">
      <c r="B41" t="s">
        <v>122</v>
      </c>
      <c r="C41">
        <v>668.34879999999998</v>
      </c>
      <c r="D41" t="s">
        <v>198</v>
      </c>
      <c r="E41" t="s">
        <v>199</v>
      </c>
    </row>
    <row r="42" spans="1:5" x14ac:dyDescent="0.25">
      <c r="B42" t="s">
        <v>122</v>
      </c>
      <c r="C42">
        <v>679.36479999999995</v>
      </c>
      <c r="D42" t="s">
        <v>194</v>
      </c>
    </row>
    <row r="43" spans="1:5" x14ac:dyDescent="0.25">
      <c r="C43">
        <v>685.37530000000004</v>
      </c>
      <c r="D43" t="s">
        <v>141</v>
      </c>
    </row>
    <row r="44" spans="1:5" x14ac:dyDescent="0.25">
      <c r="B44" t="s">
        <v>122</v>
      </c>
      <c r="C44">
        <v>737.37030000000004</v>
      </c>
      <c r="D44" t="s">
        <v>185</v>
      </c>
    </row>
    <row r="45" spans="1:5" x14ac:dyDescent="0.25">
      <c r="C45">
        <v>743.41719999999998</v>
      </c>
      <c r="D45" t="s">
        <v>160</v>
      </c>
      <c r="E45" t="s">
        <v>162</v>
      </c>
    </row>
    <row r="46" spans="1:5" x14ac:dyDescent="0.25">
      <c r="B46" t="s">
        <v>122</v>
      </c>
      <c r="C46">
        <v>767.38080000000002</v>
      </c>
      <c r="D46" t="s">
        <v>186</v>
      </c>
    </row>
    <row r="47" spans="1:5" x14ac:dyDescent="0.25">
      <c r="B47" t="s">
        <v>122</v>
      </c>
      <c r="C47">
        <v>797.39139999999998</v>
      </c>
      <c r="D47" t="s">
        <v>187</v>
      </c>
    </row>
    <row r="48" spans="1:5" x14ac:dyDescent="0.25">
      <c r="A48" t="s">
        <v>188</v>
      </c>
      <c r="B48" t="s">
        <v>122</v>
      </c>
      <c r="C48">
        <v>825.42269999999996</v>
      </c>
    </row>
    <row r="49" spans="1:4" x14ac:dyDescent="0.25">
      <c r="A49" t="s">
        <v>190</v>
      </c>
      <c r="B49" t="s">
        <v>122</v>
      </c>
      <c r="C49">
        <v>842.43799999999999</v>
      </c>
      <c r="D49" t="s">
        <v>189</v>
      </c>
    </row>
    <row r="50" spans="1:4" x14ac:dyDescent="0.25">
      <c r="A50" t="s">
        <v>192</v>
      </c>
      <c r="B50" t="s">
        <v>122</v>
      </c>
      <c r="C50">
        <v>855.43330000000003</v>
      </c>
    </row>
    <row r="51" spans="1:4" x14ac:dyDescent="0.25">
      <c r="B51" t="s">
        <v>122</v>
      </c>
      <c r="C51">
        <v>999.51189999999997</v>
      </c>
      <c r="D51" t="s">
        <v>196</v>
      </c>
    </row>
    <row r="52" spans="1:4" x14ac:dyDescent="0.25">
      <c r="B52" t="s">
        <v>122</v>
      </c>
      <c r="C52">
        <v>1029.5225</v>
      </c>
      <c r="D52" t="s">
        <v>197</v>
      </c>
    </row>
  </sheetData>
  <autoFilter ref="A1:H1" xr:uid="{8C36264D-C27F-4AD5-963C-3034536B9C46}">
    <sortState xmlns:xlrd2="http://schemas.microsoft.com/office/spreadsheetml/2017/richdata2" ref="A2:H52">
      <sortCondition ref="C1"/>
    </sortState>
  </autoFilter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AB2D5-782B-41CE-B785-043075CF499C}">
  <dimension ref="A1:L13"/>
  <sheetViews>
    <sheetView workbookViewId="0">
      <selection activeCell="H14" sqref="H14"/>
    </sheetView>
  </sheetViews>
  <sheetFormatPr defaultColWidth="8.75" defaultRowHeight="16.5" x14ac:dyDescent="0.25"/>
  <cols>
    <col min="1" max="1" width="18.625" customWidth="1"/>
  </cols>
  <sheetData>
    <row r="1" spans="1:12" x14ac:dyDescent="0.25">
      <c r="A1" t="s">
        <v>77</v>
      </c>
      <c r="G1" s="2" t="s">
        <v>88</v>
      </c>
      <c r="J1" t="s">
        <v>89</v>
      </c>
    </row>
    <row r="2" spans="1:12" x14ac:dyDescent="0.25">
      <c r="E2" t="s">
        <v>87</v>
      </c>
      <c r="F2">
        <v>14</v>
      </c>
      <c r="G2" t="s">
        <v>82</v>
      </c>
      <c r="H2">
        <v>12.000120000000001</v>
      </c>
      <c r="I2" t="s">
        <v>83</v>
      </c>
      <c r="J2">
        <v>1.0007325</v>
      </c>
      <c r="K2" t="s">
        <v>84</v>
      </c>
      <c r="L2">
        <v>16.0001</v>
      </c>
    </row>
    <row r="3" spans="1:12" x14ac:dyDescent="0.25">
      <c r="B3" t="s">
        <v>79</v>
      </c>
      <c r="C3" t="s">
        <v>80</v>
      </c>
      <c r="E3" t="s">
        <v>76</v>
      </c>
    </row>
    <row r="4" spans="1:12" x14ac:dyDescent="0.25">
      <c r="A4" t="s">
        <v>85</v>
      </c>
      <c r="B4" t="s">
        <v>86</v>
      </c>
      <c r="C4">
        <f>8*H2+15*J2+1*F2+6*L2</f>
        <v>221.01254749999998</v>
      </c>
      <c r="E4">
        <v>245</v>
      </c>
    </row>
    <row r="5" spans="1:12" x14ac:dyDescent="0.25">
      <c r="A5" t="s">
        <v>78</v>
      </c>
      <c r="B5" t="s">
        <v>81</v>
      </c>
      <c r="C5">
        <f>6*H2+12*J2+6*L2</f>
        <v>180.01011</v>
      </c>
      <c r="E5">
        <v>204</v>
      </c>
    </row>
    <row r="13" spans="1:12" x14ac:dyDescent="0.25">
      <c r="G13" t="s">
        <v>255</v>
      </c>
      <c r="H13">
        <f>F2+3*J2</f>
        <v>17.002197500000001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B01D25D17823C344A9D69518AF56DC62" ma:contentTypeVersion="6" ma:contentTypeDescription="新しいドキュメントを作成します。" ma:contentTypeScope="" ma:versionID="f29605d1c82d3d43c74cd3efc573dd15">
  <xsd:schema xmlns:xsd="http://www.w3.org/2001/XMLSchema" xmlns:xs="http://www.w3.org/2001/XMLSchema" xmlns:p="http://schemas.microsoft.com/office/2006/metadata/properties" xmlns:ns3="f82b70a8-9591-478e-a6d5-bf315b83c485" targetNamespace="http://schemas.microsoft.com/office/2006/metadata/properties" ma:root="true" ma:fieldsID="d7d0483a01e3419b531383906934819f" ns3:_="">
    <xsd:import namespace="f82b70a8-9591-478e-a6d5-bf315b83c48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b70a8-9591-478e-a6d5-bf315b83c4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82b70a8-9591-478e-a6d5-bf315b83c485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9456A160-7E20-4E69-A931-2BB92B421E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b70a8-9591-478e-a6d5-bf315b83c4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E671EDC-6F53-464A-A6F7-50725C78A06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823E61-17DC-4359-821B-B50476FA651C}">
  <ds:schemaRefs>
    <ds:schemaRef ds:uri="f82b70a8-9591-478e-a6d5-bf315b83c485"/>
    <ds:schemaRef ds:uri="http://schemas.microsoft.com/office/infopath/2007/PartnerControls"/>
    <ds:schemaRef ds:uri="http://purl.org/dc/terms/"/>
    <ds:schemaRef ds:uri="http://www.w3.org/XML/1998/namespace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1416407B-8F30-B446-8185-388AD6E0C1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Glycanlist</vt:lpstr>
      <vt:lpstr>MSlist</vt:lpstr>
      <vt:lpstr>ML_integration</vt:lpstr>
      <vt:lpstr>information_sheet</vt:lpstr>
      <vt:lpstr>ionlist</vt:lpstr>
      <vt:lpstr>Template for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　煥權</dc:creator>
  <cp:lastModifiedBy>曾　煥權</cp:lastModifiedBy>
  <dcterms:created xsi:type="dcterms:W3CDTF">2024-07-18T07:40:05Z</dcterms:created>
  <dcterms:modified xsi:type="dcterms:W3CDTF">2025-04-10T17:44:22Z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0x010100B01D25D17823C344A9D69518AF56DC62</vt:lpwstr>
  </property>
</Properties>
</file>