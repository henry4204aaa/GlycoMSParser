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nstseng/Library/CloudStorage/GoogleDrive-henry4204aaa@hotmail.com/その他のパソコン/My Computer/GlycoMSParser/collab_data/"/>
    </mc:Choice>
  </mc:AlternateContent>
  <xr:revisionPtr revIDLastSave="0" documentId="8_{F31D53FF-DB15-A946-8D9A-B432602EBA27}" xr6:coauthVersionLast="47" xr6:coauthVersionMax="47" xr10:uidLastSave="{00000000-0000-0000-0000-000000000000}"/>
  <bookViews>
    <workbookView xWindow="1240" yWindow="2240" windowWidth="25920" windowHeight="21340" xr2:uid="{7482509F-F19E-E643-BD5B-44139DC7E373}"/>
  </bookViews>
  <sheets>
    <sheet name="Glycanlist_from_ovary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2" i="2"/>
  <c r="H69" i="2"/>
  <c r="G69" i="2"/>
  <c r="F69" i="2"/>
  <c r="D69" i="2"/>
  <c r="H68" i="2"/>
  <c r="G68" i="2"/>
  <c r="F68" i="2"/>
  <c r="D68" i="2"/>
  <c r="H67" i="2"/>
  <c r="G67" i="2"/>
  <c r="F67" i="2"/>
  <c r="D67" i="2"/>
  <c r="H66" i="2"/>
  <c r="G66" i="2"/>
  <c r="F66" i="2"/>
  <c r="D66" i="2"/>
  <c r="H65" i="2"/>
  <c r="G65" i="2"/>
  <c r="F65" i="2"/>
  <c r="D65" i="2"/>
  <c r="H64" i="2"/>
  <c r="G64" i="2"/>
  <c r="F64" i="2"/>
  <c r="D64" i="2"/>
  <c r="H63" i="2"/>
  <c r="G63" i="2"/>
  <c r="F63" i="2"/>
  <c r="D63" i="2"/>
  <c r="H62" i="2"/>
  <c r="G62" i="2"/>
  <c r="F62" i="2"/>
  <c r="D62" i="2"/>
  <c r="H61" i="2"/>
  <c r="G61" i="2"/>
  <c r="F61" i="2"/>
  <c r="D61" i="2"/>
  <c r="H60" i="2"/>
  <c r="G60" i="2"/>
  <c r="F60" i="2"/>
  <c r="D60" i="2"/>
  <c r="H59" i="2"/>
  <c r="G59" i="2"/>
  <c r="F59" i="2"/>
  <c r="D59" i="2"/>
  <c r="H58" i="2"/>
  <c r="G58" i="2"/>
  <c r="F58" i="2"/>
  <c r="D58" i="2"/>
  <c r="H57" i="2"/>
  <c r="G57" i="2"/>
  <c r="F57" i="2"/>
  <c r="D57" i="2"/>
  <c r="H56" i="2"/>
  <c r="G56" i="2"/>
  <c r="F56" i="2"/>
  <c r="D56" i="2"/>
  <c r="H55" i="2"/>
  <c r="G55" i="2"/>
  <c r="F55" i="2"/>
  <c r="D55" i="2"/>
  <c r="H54" i="2"/>
  <c r="G54" i="2"/>
  <c r="F54" i="2"/>
  <c r="D54" i="2"/>
  <c r="H53" i="2"/>
  <c r="G53" i="2"/>
  <c r="F53" i="2"/>
  <c r="D53" i="2"/>
  <c r="H52" i="2"/>
  <c r="G52" i="2"/>
  <c r="F52" i="2"/>
  <c r="D52" i="2"/>
  <c r="H51" i="2"/>
  <c r="G51" i="2"/>
  <c r="F51" i="2"/>
  <c r="D51" i="2"/>
  <c r="H50" i="2"/>
  <c r="G50" i="2"/>
  <c r="F50" i="2"/>
  <c r="D50" i="2"/>
  <c r="H49" i="2"/>
  <c r="G49" i="2"/>
  <c r="F49" i="2"/>
  <c r="D49" i="2"/>
  <c r="H48" i="2"/>
  <c r="G48" i="2"/>
  <c r="F48" i="2"/>
  <c r="D48" i="2"/>
  <c r="H47" i="2"/>
  <c r="G47" i="2"/>
  <c r="F47" i="2"/>
  <c r="D47" i="2"/>
  <c r="H46" i="2"/>
  <c r="G46" i="2"/>
  <c r="F46" i="2"/>
  <c r="D46" i="2"/>
  <c r="H45" i="2"/>
  <c r="G45" i="2"/>
  <c r="F45" i="2"/>
  <c r="D45" i="2"/>
  <c r="H44" i="2"/>
  <c r="G44" i="2"/>
  <c r="F44" i="2"/>
  <c r="D44" i="2"/>
  <c r="H43" i="2"/>
  <c r="G43" i="2"/>
  <c r="F43" i="2"/>
  <c r="D43" i="2"/>
  <c r="H42" i="2"/>
  <c r="G42" i="2"/>
  <c r="F42" i="2"/>
  <c r="D42" i="2"/>
  <c r="H41" i="2"/>
  <c r="G41" i="2"/>
  <c r="F41" i="2"/>
  <c r="D41" i="2"/>
  <c r="H40" i="2"/>
  <c r="G40" i="2"/>
  <c r="F40" i="2"/>
  <c r="D40" i="2"/>
  <c r="H39" i="2"/>
  <c r="G39" i="2"/>
  <c r="F39" i="2"/>
  <c r="D39" i="2"/>
  <c r="H38" i="2"/>
  <c r="G38" i="2"/>
  <c r="F38" i="2"/>
  <c r="D38" i="2"/>
  <c r="H37" i="2"/>
  <c r="G37" i="2"/>
  <c r="F37" i="2"/>
  <c r="D37" i="2"/>
  <c r="H36" i="2"/>
  <c r="G36" i="2"/>
  <c r="F36" i="2"/>
  <c r="D36" i="2"/>
  <c r="H35" i="2"/>
  <c r="G35" i="2"/>
  <c r="F35" i="2"/>
  <c r="D35" i="2"/>
  <c r="H34" i="2"/>
  <c r="G34" i="2"/>
  <c r="F34" i="2"/>
  <c r="D34" i="2"/>
  <c r="H33" i="2"/>
  <c r="G33" i="2"/>
  <c r="F33" i="2"/>
  <c r="D33" i="2"/>
  <c r="H32" i="2"/>
  <c r="G32" i="2"/>
  <c r="F32" i="2"/>
  <c r="D32" i="2"/>
  <c r="H31" i="2"/>
  <c r="G31" i="2"/>
  <c r="F31" i="2"/>
  <c r="D31" i="2"/>
  <c r="H30" i="2"/>
  <c r="G30" i="2"/>
  <c r="F30" i="2"/>
  <c r="D30" i="2"/>
  <c r="H29" i="2"/>
  <c r="G29" i="2"/>
  <c r="F29" i="2"/>
  <c r="D29" i="2"/>
  <c r="H28" i="2"/>
  <c r="G28" i="2"/>
  <c r="F28" i="2"/>
  <c r="D28" i="2"/>
  <c r="H27" i="2"/>
  <c r="G27" i="2"/>
  <c r="F27" i="2"/>
  <c r="D27" i="2"/>
  <c r="H26" i="2"/>
  <c r="G26" i="2"/>
  <c r="F26" i="2"/>
  <c r="D26" i="2"/>
  <c r="H25" i="2"/>
  <c r="G25" i="2"/>
  <c r="F25" i="2"/>
  <c r="D25" i="2"/>
  <c r="H24" i="2"/>
  <c r="G24" i="2"/>
  <c r="F24" i="2"/>
  <c r="D24" i="2"/>
  <c r="H23" i="2"/>
  <c r="G23" i="2"/>
  <c r="F23" i="2"/>
  <c r="D23" i="2"/>
  <c r="H22" i="2"/>
  <c r="G22" i="2"/>
  <c r="F22" i="2"/>
  <c r="D22" i="2"/>
  <c r="H21" i="2"/>
  <c r="G21" i="2"/>
  <c r="F21" i="2"/>
  <c r="D21" i="2"/>
  <c r="H20" i="2"/>
  <c r="G20" i="2"/>
  <c r="F20" i="2"/>
  <c r="D20" i="2"/>
  <c r="H19" i="2"/>
  <c r="G19" i="2"/>
  <c r="F19" i="2"/>
  <c r="D19" i="2"/>
  <c r="H18" i="2"/>
  <c r="G18" i="2"/>
  <c r="F18" i="2"/>
  <c r="D18" i="2"/>
  <c r="H17" i="2"/>
  <c r="G17" i="2"/>
  <c r="F17" i="2"/>
  <c r="D17" i="2"/>
  <c r="H16" i="2"/>
  <c r="G16" i="2"/>
  <c r="F16" i="2"/>
  <c r="D16" i="2"/>
  <c r="H15" i="2"/>
  <c r="G15" i="2"/>
  <c r="F15" i="2"/>
  <c r="D15" i="2"/>
  <c r="H14" i="2"/>
  <c r="G14" i="2"/>
  <c r="F14" i="2"/>
  <c r="D14" i="2"/>
  <c r="H13" i="2"/>
  <c r="G13" i="2"/>
  <c r="F13" i="2"/>
  <c r="D13" i="2"/>
  <c r="H12" i="2"/>
  <c r="G12" i="2"/>
  <c r="F12" i="2"/>
  <c r="D12" i="2"/>
  <c r="H11" i="2"/>
  <c r="G11" i="2"/>
  <c r="F11" i="2"/>
  <c r="D11" i="2"/>
  <c r="H10" i="2"/>
  <c r="G10" i="2"/>
  <c r="F10" i="2"/>
  <c r="D10" i="2"/>
  <c r="H9" i="2"/>
  <c r="G9" i="2"/>
  <c r="F9" i="2"/>
  <c r="D9" i="2"/>
  <c r="H8" i="2"/>
  <c r="G8" i="2"/>
  <c r="F8" i="2"/>
  <c r="D8" i="2"/>
  <c r="H7" i="2"/>
  <c r="G7" i="2"/>
  <c r="F7" i="2"/>
  <c r="D7" i="2"/>
  <c r="H6" i="2"/>
  <c r="G6" i="2"/>
  <c r="F6" i="2"/>
  <c r="D6" i="2"/>
  <c r="H5" i="2"/>
  <c r="G5" i="2"/>
  <c r="F5" i="2"/>
  <c r="D5" i="2"/>
  <c r="H4" i="2"/>
  <c r="G4" i="2"/>
  <c r="F4" i="2"/>
  <c r="D4" i="2"/>
  <c r="H3" i="2"/>
  <c r="G3" i="2"/>
  <c r="F3" i="2"/>
  <c r="D3" i="2"/>
  <c r="S2" i="2"/>
  <c r="Q2" i="2"/>
  <c r="H2" i="2"/>
  <c r="G2" i="2"/>
</calcChain>
</file>

<file path=xl/sharedStrings.xml><?xml version="1.0" encoding="utf-8"?>
<sst xmlns="http://schemas.openxmlformats.org/spreadsheetml/2006/main" count="279" uniqueCount="165">
  <si>
    <t>Glycan no (in paper)</t>
    <phoneticPr fontId="3" type="noConversion"/>
  </si>
  <si>
    <t>Glycan name/abbr</t>
    <phoneticPr fontId="3" type="noConversion"/>
  </si>
  <si>
    <t>composition</t>
    <phoneticPr fontId="3" type="noConversion"/>
  </si>
  <si>
    <t>Mass Na+</t>
    <phoneticPr fontId="3" type="noConversion"/>
  </si>
  <si>
    <t>Mass H+</t>
    <phoneticPr fontId="3" type="noConversion"/>
  </si>
  <si>
    <t>Mass 2H+</t>
    <phoneticPr fontId="3" type="noConversion"/>
  </si>
  <si>
    <t>Mass 3H+</t>
    <phoneticPr fontId="3" type="noConversion"/>
  </si>
  <si>
    <t>Mass 4H+ (max)</t>
    <phoneticPr fontId="3" type="noConversion"/>
  </si>
  <si>
    <t>MS2 in Na</t>
    <phoneticPr fontId="3" type="noConversion"/>
  </si>
  <si>
    <t>MS2 in H</t>
    <phoneticPr fontId="3" type="noConversion"/>
  </si>
  <si>
    <t>MS2 in 2H</t>
    <phoneticPr fontId="3" type="noConversion"/>
  </si>
  <si>
    <t>MS2 in 3H</t>
    <phoneticPr fontId="3" type="noConversion"/>
  </si>
  <si>
    <t>MS2 in 4H</t>
    <phoneticPr fontId="3" type="noConversion"/>
  </si>
  <si>
    <t>Criteria of selection</t>
    <phoneticPr fontId="3" type="noConversion"/>
  </si>
  <si>
    <t>note</t>
    <phoneticPr fontId="3" type="noConversion"/>
  </si>
  <si>
    <t>Man5</t>
    <phoneticPr fontId="3" type="noConversion"/>
  </si>
  <si>
    <t>H5N2</t>
    <phoneticPr fontId="3" type="noConversion"/>
  </si>
  <si>
    <t>Bio</t>
    <phoneticPr fontId="3" type="noConversion"/>
  </si>
  <si>
    <t>Na ion</t>
    <phoneticPr fontId="3" type="noConversion"/>
  </si>
  <si>
    <t>H?</t>
    <phoneticPr fontId="3" type="noConversion"/>
  </si>
  <si>
    <t>Man6</t>
    <phoneticPr fontId="3" type="noConversion"/>
  </si>
  <si>
    <t>H6N2</t>
    <phoneticPr fontId="3" type="noConversion"/>
  </si>
  <si>
    <t>Man7</t>
    <phoneticPr fontId="3" type="noConversion"/>
  </si>
  <si>
    <t>H7N2</t>
    <phoneticPr fontId="3" type="noConversion"/>
  </si>
  <si>
    <t>Man8</t>
    <phoneticPr fontId="3" type="noConversion"/>
  </si>
  <si>
    <t>H8N2</t>
    <phoneticPr fontId="3" type="noConversion"/>
  </si>
  <si>
    <t>Man9</t>
    <phoneticPr fontId="3" type="noConversion"/>
  </si>
  <si>
    <t>H9N2</t>
    <phoneticPr fontId="3" type="noConversion"/>
  </si>
  <si>
    <t>Hybrid GcLDNC</t>
    <phoneticPr fontId="3" type="noConversion"/>
  </si>
  <si>
    <t>H4N4G1</t>
    <phoneticPr fontId="3" type="noConversion"/>
  </si>
  <si>
    <t>Paper</t>
    <phoneticPr fontId="3" type="noConversion"/>
  </si>
  <si>
    <t>Hybrid AcLDNC</t>
    <phoneticPr fontId="3" type="noConversion"/>
  </si>
  <si>
    <t>H4N4S1</t>
    <phoneticPr fontId="3" type="noConversion"/>
  </si>
  <si>
    <t>Extend from paper</t>
    <phoneticPr fontId="3" type="noConversion"/>
  </si>
  <si>
    <t>H5N4G1</t>
    <phoneticPr fontId="3" type="noConversion"/>
  </si>
  <si>
    <t>Peak 0 biantennary mixture</t>
    <phoneticPr fontId="3" type="noConversion"/>
  </si>
  <si>
    <t>not 20</t>
    <phoneticPr fontId="3" type="noConversion"/>
  </si>
  <si>
    <t>H5N4S1</t>
    <phoneticPr fontId="3" type="noConversion"/>
  </si>
  <si>
    <t>Peak 2 biantennary mixture</t>
    <phoneticPr fontId="3" type="noConversion"/>
  </si>
  <si>
    <t>Bian- LeAX LDNC</t>
    <phoneticPr fontId="3" type="noConversion"/>
  </si>
  <si>
    <t>F1H4N5</t>
    <phoneticPr fontId="3" type="noConversion"/>
  </si>
  <si>
    <t>Bian- CoreFuc LN LDNC</t>
    <phoneticPr fontId="3" type="noConversion"/>
  </si>
  <si>
    <t>isotope from ms2 evidences</t>
    <phoneticPr fontId="3" type="noConversion"/>
  </si>
  <si>
    <t>Bisect- zf epitope</t>
    <phoneticPr fontId="3" type="noConversion"/>
  </si>
  <si>
    <t>F2H5N5</t>
    <phoneticPr fontId="3" type="noConversion"/>
  </si>
  <si>
    <t>Bian- AcGcLDNC</t>
    <phoneticPr fontId="3" type="noConversion"/>
  </si>
  <si>
    <t>H3N6S1G1</t>
    <phoneticPr fontId="3" type="noConversion"/>
  </si>
  <si>
    <t>Bian- GcLDNC</t>
    <phoneticPr fontId="3" type="noConversion"/>
  </si>
  <si>
    <t>H3N6G2</t>
    <phoneticPr fontId="3" type="noConversion"/>
  </si>
  <si>
    <t>Bian- AcLDNC</t>
    <phoneticPr fontId="3" type="noConversion"/>
  </si>
  <si>
    <t>H3N6S2</t>
    <phoneticPr fontId="3" type="noConversion"/>
  </si>
  <si>
    <t>Bian- zf specic 2</t>
    <phoneticPr fontId="3" type="noConversion"/>
  </si>
  <si>
    <t>F2H7N4S1</t>
    <phoneticPr fontId="3" type="noConversion"/>
  </si>
  <si>
    <t>F2H7N4G1</t>
    <phoneticPr fontId="3" type="noConversion"/>
  </si>
  <si>
    <t>F3H7N5</t>
    <phoneticPr fontId="3" type="noConversion"/>
  </si>
  <si>
    <t>Peak 2 uncertain which struc</t>
    <phoneticPr fontId="3" type="noConversion"/>
  </si>
  <si>
    <t>F2H7N4S2</t>
    <phoneticPr fontId="3" type="noConversion"/>
  </si>
  <si>
    <t>F2H7N4S1G1</t>
    <phoneticPr fontId="3" type="noConversion"/>
  </si>
  <si>
    <t>F2H7N4G2</t>
    <phoneticPr fontId="3" type="noConversion"/>
  </si>
  <si>
    <t>Bisect LN</t>
    <phoneticPr fontId="3" type="noConversion"/>
  </si>
  <si>
    <t>F1H5N5</t>
    <phoneticPr fontId="3" type="noConversion"/>
  </si>
  <si>
    <t>Glypick</t>
    <phoneticPr fontId="3" type="noConversion"/>
  </si>
  <si>
    <t>Core</t>
    <phoneticPr fontId="3" type="noConversion"/>
  </si>
  <si>
    <t>H3N4</t>
    <phoneticPr fontId="3" type="noConversion"/>
  </si>
  <si>
    <t>Core Bisect</t>
    <phoneticPr fontId="3" type="noConversion"/>
  </si>
  <si>
    <t>H3N5</t>
    <phoneticPr fontId="3" type="noConversion"/>
  </si>
  <si>
    <t>82-84</t>
    <phoneticPr fontId="3" type="noConversion"/>
  </si>
  <si>
    <t>Trian- Ac</t>
    <phoneticPr fontId="3" type="noConversion"/>
  </si>
  <si>
    <t>F2H6N5S1</t>
    <phoneticPr fontId="3" type="noConversion"/>
  </si>
  <si>
    <t>Hybrid</t>
    <phoneticPr fontId="3" type="noConversion"/>
  </si>
  <si>
    <t>H5N3</t>
    <phoneticPr fontId="3" type="noConversion"/>
  </si>
  <si>
    <t>擴大搜尋</t>
    <phoneticPr fontId="3" type="noConversion"/>
  </si>
  <si>
    <t>Bian-</t>
    <phoneticPr fontId="3" type="noConversion"/>
  </si>
  <si>
    <t>F1H3N4</t>
    <phoneticPr fontId="3" type="noConversion"/>
  </si>
  <si>
    <t>Bian</t>
    <phoneticPr fontId="3" type="noConversion"/>
  </si>
  <si>
    <t>H4N4</t>
    <phoneticPr fontId="3" type="noConversion"/>
  </si>
  <si>
    <t>6,7</t>
    <phoneticPr fontId="3" type="noConversion"/>
  </si>
  <si>
    <t>H6N3</t>
    <phoneticPr fontId="3" type="noConversion"/>
  </si>
  <si>
    <t>F1H4N4</t>
    <phoneticPr fontId="3" type="noConversion"/>
  </si>
  <si>
    <t>擴大搜尋, XIC strong</t>
    <phoneticPr fontId="3" type="noConversion"/>
  </si>
  <si>
    <t>9,10,11</t>
    <phoneticPr fontId="3" type="noConversion"/>
  </si>
  <si>
    <t>H5N4</t>
    <phoneticPr fontId="3" type="noConversion"/>
  </si>
  <si>
    <t>Bisect core</t>
    <phoneticPr fontId="3" type="noConversion"/>
  </si>
  <si>
    <t>F1H3N5</t>
    <phoneticPr fontId="3" type="noConversion"/>
  </si>
  <si>
    <t>13,14</t>
    <phoneticPr fontId="3" type="noConversion"/>
  </si>
  <si>
    <t>F1H5N4</t>
    <phoneticPr fontId="3" type="noConversion"/>
  </si>
  <si>
    <t>擴大搜尋, strong 621 651</t>
    <phoneticPr fontId="3" type="noConversion"/>
  </si>
  <si>
    <t>21,22</t>
    <phoneticPr fontId="3" type="noConversion"/>
  </si>
  <si>
    <t>Bian- zf specic</t>
    <phoneticPr fontId="3" type="noConversion"/>
  </si>
  <si>
    <t>F1H6N4</t>
    <phoneticPr fontId="3" type="noConversion"/>
  </si>
  <si>
    <t>Bisect</t>
    <phoneticPr fontId="3" type="noConversion"/>
  </si>
  <si>
    <t>F2H4N5</t>
    <phoneticPr fontId="3" type="noConversion"/>
  </si>
  <si>
    <t>30-34</t>
    <phoneticPr fontId="3" type="noConversion"/>
  </si>
  <si>
    <t>Multiple possibilities</t>
    <phoneticPr fontId="3" type="noConversion"/>
  </si>
  <si>
    <t>F1H5N4S1</t>
    <phoneticPr fontId="3" type="noConversion"/>
  </si>
  <si>
    <t>mixture, 最前面疑似NG31 (199xx)</t>
    <phoneticPr fontId="3" type="noConversion"/>
  </si>
  <si>
    <t>35,36</t>
    <phoneticPr fontId="3" type="noConversion"/>
  </si>
  <si>
    <t>F2H6N4</t>
    <phoneticPr fontId="3" type="noConversion"/>
  </si>
  <si>
    <t>37, 38</t>
    <phoneticPr fontId="3" type="noConversion"/>
  </si>
  <si>
    <t>H6N4S1</t>
    <phoneticPr fontId="3" type="noConversion"/>
  </si>
  <si>
    <t>39-41</t>
    <phoneticPr fontId="3" type="noConversion"/>
  </si>
  <si>
    <t>F1H5N4G1</t>
    <phoneticPr fontId="3" type="noConversion"/>
  </si>
  <si>
    <t>weak</t>
    <phoneticPr fontId="3" type="noConversion"/>
  </si>
  <si>
    <t>44,45</t>
    <phoneticPr fontId="3" type="noConversion"/>
  </si>
  <si>
    <t>Bi? Tri? Bisect?</t>
    <phoneticPr fontId="3" type="noConversion"/>
  </si>
  <si>
    <t>F1H6N5</t>
    <phoneticPr fontId="3" type="noConversion"/>
  </si>
  <si>
    <t>46-49</t>
    <phoneticPr fontId="3" type="noConversion"/>
  </si>
  <si>
    <t>F1H6N4S1</t>
    <phoneticPr fontId="3" type="noConversion"/>
  </si>
  <si>
    <t>50,51</t>
    <phoneticPr fontId="3" type="noConversion"/>
  </si>
  <si>
    <t>KDN-</t>
    <phoneticPr fontId="3" type="noConversion"/>
  </si>
  <si>
    <t>F1H5N5KDN1</t>
    <phoneticPr fontId="3" type="noConversion"/>
  </si>
  <si>
    <t xml:space="preserve">Bian- zf </t>
    <phoneticPr fontId="3" type="noConversion"/>
  </si>
  <si>
    <t>F2H7N4</t>
    <phoneticPr fontId="3" type="noConversion"/>
  </si>
  <si>
    <t>有兩張有關鍵peak但也有344, 374污染 (20386, 20581)</t>
    <phoneticPr fontId="3" type="noConversion"/>
  </si>
  <si>
    <t>wrong icon in paper</t>
    <phoneticPr fontId="3" type="noConversion"/>
  </si>
  <si>
    <t>F1H4N6KDN1</t>
    <phoneticPr fontId="3" type="noConversion"/>
  </si>
  <si>
    <t>54-56</t>
    <phoneticPr fontId="3" type="noConversion"/>
  </si>
  <si>
    <t>F1H5N5S1</t>
    <phoneticPr fontId="3" type="noConversion"/>
  </si>
  <si>
    <t>Triantennary OR bisecting, core-Fuc,  not the ones in list</t>
    <phoneticPr fontId="3" type="noConversion"/>
  </si>
  <si>
    <t>F2H6N5</t>
    <phoneticPr fontId="3" type="noConversion"/>
  </si>
  <si>
    <t>F1H5N4S2</t>
    <phoneticPr fontId="3" type="noConversion"/>
  </si>
  <si>
    <t>relatively weak (strong XIC but no MS2)</t>
    <phoneticPr fontId="3" type="noConversion"/>
  </si>
  <si>
    <t>Bisect KDN</t>
    <phoneticPr fontId="3" type="noConversion"/>
  </si>
  <si>
    <t>F2H5N5KDN1</t>
    <phoneticPr fontId="3" type="noConversion"/>
  </si>
  <si>
    <t>62-64</t>
    <phoneticPr fontId="3" type="noConversion"/>
  </si>
  <si>
    <t>Bian- zf</t>
    <phoneticPr fontId="3" type="noConversion"/>
  </si>
  <si>
    <t>F2H6N4S1</t>
    <phoneticPr fontId="3" type="noConversion"/>
  </si>
  <si>
    <t>F1H5N4S1G1</t>
    <phoneticPr fontId="3" type="noConversion"/>
  </si>
  <si>
    <t>F3H7N4</t>
    <phoneticPr fontId="3" type="noConversion"/>
  </si>
  <si>
    <t>67,68</t>
    <phoneticPr fontId="3" type="noConversion"/>
  </si>
  <si>
    <t>F1H6N5KDN1</t>
    <phoneticPr fontId="3" type="noConversion"/>
  </si>
  <si>
    <t>F2H6N4G1?</t>
    <phoneticPr fontId="3" type="noConversion"/>
  </si>
  <si>
    <t>F2H6N4G1</t>
    <phoneticPr fontId="3" type="noConversion"/>
  </si>
  <si>
    <t>69,70</t>
    <phoneticPr fontId="3" type="noConversion"/>
  </si>
  <si>
    <t>F1H6N5S1</t>
    <phoneticPr fontId="3" type="noConversion"/>
  </si>
  <si>
    <t>F2H5N5G1</t>
    <phoneticPr fontId="3" type="noConversion"/>
  </si>
  <si>
    <t>71-73</t>
    <phoneticPr fontId="3" type="noConversion"/>
  </si>
  <si>
    <t>Bisect or Trian-</t>
    <phoneticPr fontId="3" type="noConversion"/>
  </si>
  <si>
    <t>F2H7N5</t>
    <phoneticPr fontId="3" type="noConversion"/>
  </si>
  <si>
    <t>F1H5N5KDN2</t>
    <phoneticPr fontId="3" type="noConversion"/>
  </si>
  <si>
    <t>75,76</t>
    <phoneticPr fontId="3" type="noConversion"/>
  </si>
  <si>
    <t>F1H6N4S2</t>
    <phoneticPr fontId="3" type="noConversion"/>
  </si>
  <si>
    <t>see below</t>
    <phoneticPr fontId="3" type="noConversion"/>
  </si>
  <si>
    <t>F2H5N4S1G1</t>
    <phoneticPr fontId="3" type="noConversion"/>
  </si>
  <si>
    <t>F2H6N5KDN1</t>
    <phoneticPr fontId="3" type="noConversion"/>
  </si>
  <si>
    <t>79, 80</t>
    <phoneticPr fontId="3" type="noConversion"/>
  </si>
  <si>
    <t>Bian- zf AcGc</t>
    <phoneticPr fontId="3" type="noConversion"/>
  </si>
  <si>
    <t>F1H6N4S1G1</t>
    <phoneticPr fontId="3" type="noConversion"/>
  </si>
  <si>
    <t>weak and no critical ions</t>
    <phoneticPr fontId="3" type="noConversion"/>
  </si>
  <si>
    <t>F3H7N4S1</t>
    <phoneticPr fontId="3" type="noConversion"/>
  </si>
  <si>
    <t>87,88</t>
    <phoneticPr fontId="3" type="noConversion"/>
  </si>
  <si>
    <t>F1H7N4S2</t>
    <phoneticPr fontId="3" type="noConversion"/>
  </si>
  <si>
    <t>F3H7N4S2</t>
    <phoneticPr fontId="3" type="noConversion"/>
  </si>
  <si>
    <t>F2H8N5S3</t>
    <phoneticPr fontId="3" type="noConversion"/>
  </si>
  <si>
    <t>Trian- Ac zf</t>
    <phoneticPr fontId="3" type="noConversion"/>
  </si>
  <si>
    <t>F3H9N5S3</t>
    <phoneticPr fontId="3" type="noConversion"/>
  </si>
  <si>
    <t xml:space="preserve">Tetra- </t>
    <phoneticPr fontId="3" type="noConversion"/>
  </si>
  <si>
    <t>F2H11N7S1</t>
    <phoneticPr fontId="3" type="noConversion"/>
  </si>
  <si>
    <t>strong peaks, unknown structure</t>
    <phoneticPr fontId="3" type="noConversion"/>
  </si>
  <si>
    <t>Structure</t>
    <phoneticPr fontId="2"/>
  </si>
  <si>
    <t>MS2 no</t>
    <phoneticPr fontId="2"/>
  </si>
  <si>
    <t>Peak no</t>
    <phoneticPr fontId="2"/>
  </si>
  <si>
    <t>offset (extra H+)</t>
    <phoneticPr fontId="2"/>
  </si>
  <si>
    <t>Man5</t>
    <phoneticPr fontId="2"/>
  </si>
  <si>
    <t>Man6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</si>
</sst>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36"/>
      <scheme val="minor"/>
    </font>
    <font>
      <sz val="6"/>
      <name val="游ゴシック"/>
      <family val="2"/>
      <charset val="128"/>
      <scheme val="minor"/>
    </font>
    <font>
      <sz val="9"/>
      <name val="游ゴシック"/>
      <family val="2"/>
      <charset val="136"/>
      <scheme val="minor"/>
    </font>
    <font>
      <sz val="12"/>
      <color rgb="FF000000"/>
      <name val="游ゴシック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1">
      <alignment vertical="center"/>
    </xf>
    <xf numFmtId="176" fontId="1" fillId="0" borderId="0" xfId="1" applyNumberFormat="1">
      <alignment vertical="center"/>
    </xf>
    <xf numFmtId="0" fontId="4" fillId="0" borderId="0" xfId="1" applyFont="1">
      <alignment vertical="center"/>
    </xf>
  </cellXfs>
  <cellStyles count="2">
    <cellStyle name="標準" xfId="0" builtinId="0"/>
    <cellStyle name="標準 2" xfId="1" xr:uid="{56F10C17-4F41-C24D-8EFD-A507177C9B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5BDA-880A-7644-B5F4-A80C0B469DD0}">
  <dimension ref="A1:S69"/>
  <sheetViews>
    <sheetView tabSelected="1" workbookViewId="0">
      <selection activeCell="D4" sqref="D4:F4"/>
    </sheetView>
  </sheetViews>
  <sheetFormatPr baseColWidth="10" defaultColWidth="11" defaultRowHeight="20"/>
  <cols>
    <col min="1" max="1" width="20" style="1" customWidth="1"/>
    <col min="2" max="2" width="17.7109375" style="1" customWidth="1"/>
    <col min="3" max="3" width="17.28515625" style="1" customWidth="1"/>
    <col min="4" max="7" width="11" style="1"/>
    <col min="8" max="8" width="15.42578125" style="1" customWidth="1"/>
    <col min="9" max="13" width="11" style="1"/>
    <col min="14" max="14" width="21.42578125" style="1" customWidth="1"/>
    <col min="15" max="15" width="46.140625" style="1" customWidth="1"/>
    <col min="16" max="16384" width="11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9">
      <c r="B2" s="1" t="s">
        <v>15</v>
      </c>
      <c r="C2" s="1" t="s">
        <v>16</v>
      </c>
      <c r="D2" s="1">
        <v>1579.7826</v>
      </c>
      <c r="E2" s="1">
        <v>1557.8007</v>
      </c>
      <c r="F2" s="1">
        <v>779.404</v>
      </c>
      <c r="G2" s="1">
        <f>(E2+1.0073*2)/3</f>
        <v>519.93843333333336</v>
      </c>
      <c r="H2" s="1">
        <f t="shared" ref="H2:H69" si="0">(E2+1.0073*3)/4</f>
        <v>390.20564999999999</v>
      </c>
      <c r="I2" s="1">
        <v>0</v>
      </c>
      <c r="J2" s="1">
        <v>0</v>
      </c>
      <c r="K2" s="1">
        <f>3+2+2+3</f>
        <v>10</v>
      </c>
      <c r="L2" s="1">
        <v>-1</v>
      </c>
      <c r="M2" s="1">
        <v>-1</v>
      </c>
      <c r="N2" s="1" t="s">
        <v>17</v>
      </c>
      <c r="P2" s="1" t="s">
        <v>18</v>
      </c>
      <c r="Q2" s="1">
        <f>D2-E2</f>
        <v>21.981899999999996</v>
      </c>
      <c r="R2" s="1" t="s">
        <v>19</v>
      </c>
      <c r="S2" s="2">
        <f>F2*2-E2</f>
        <v>1.0072999999999865</v>
      </c>
    </row>
    <row r="3" spans="1:19">
      <c r="B3" s="1" t="s">
        <v>20</v>
      </c>
      <c r="C3" s="1" t="s">
        <v>21</v>
      </c>
      <c r="D3" s="1">
        <f>E3+21.9819</f>
        <v>1783.8823</v>
      </c>
      <c r="E3" s="1">
        <v>1761.9004</v>
      </c>
      <c r="F3" s="1">
        <f>(E3+1.0073)/2</f>
        <v>881.45384999999999</v>
      </c>
      <c r="G3" s="1">
        <f t="shared" ref="G3:G66" si="1">(E3+1.0073*2)/3</f>
        <v>587.97166666666669</v>
      </c>
      <c r="H3" s="1">
        <f t="shared" si="0"/>
        <v>441.23057499999999</v>
      </c>
      <c r="I3" s="1">
        <v>0</v>
      </c>
      <c r="J3" s="1">
        <v>0</v>
      </c>
      <c r="K3" s="1">
        <f>2+1+1+2</f>
        <v>6</v>
      </c>
      <c r="L3" s="1">
        <v>-1</v>
      </c>
      <c r="M3" s="1">
        <v>-1</v>
      </c>
      <c r="N3" s="1" t="s">
        <v>17</v>
      </c>
    </row>
    <row r="4" spans="1:19">
      <c r="B4" s="1" t="s">
        <v>22</v>
      </c>
      <c r="C4" s="1" t="s">
        <v>23</v>
      </c>
      <c r="D4" s="1">
        <f t="shared" ref="D4:D67" si="2">E4+21.9819</f>
        <v>1987.9820999999999</v>
      </c>
      <c r="E4" s="1">
        <v>1966.0001999999999</v>
      </c>
      <c r="F4" s="1">
        <f t="shared" ref="F4:F67" si="3">(E4+1.0073)/2</f>
        <v>983.50374999999997</v>
      </c>
      <c r="G4" s="1">
        <f t="shared" si="1"/>
        <v>656.00493333333327</v>
      </c>
      <c r="H4" s="1">
        <f t="shared" si="0"/>
        <v>492.25552499999998</v>
      </c>
      <c r="I4" s="1">
        <v>0</v>
      </c>
      <c r="J4" s="1">
        <v>0</v>
      </c>
      <c r="M4" s="1">
        <v>-1</v>
      </c>
      <c r="N4" s="1" t="s">
        <v>17</v>
      </c>
    </row>
    <row r="5" spans="1:19">
      <c r="B5" s="1" t="s">
        <v>24</v>
      </c>
      <c r="C5" s="1" t="s">
        <v>25</v>
      </c>
      <c r="D5" s="1">
        <f t="shared" si="2"/>
        <v>2192.0819000000001</v>
      </c>
      <c r="E5" s="1">
        <v>2170.1</v>
      </c>
      <c r="F5" s="1">
        <f t="shared" si="3"/>
        <v>1085.5536500000001</v>
      </c>
      <c r="G5" s="1">
        <f t="shared" si="1"/>
        <v>724.03819999999996</v>
      </c>
      <c r="H5" s="1">
        <f t="shared" si="0"/>
        <v>543.28047500000002</v>
      </c>
      <c r="I5" s="1">
        <v>-1</v>
      </c>
      <c r="J5" s="1">
        <v>-1</v>
      </c>
      <c r="K5" s="1">
        <v>6</v>
      </c>
      <c r="L5" s="1">
        <v>0</v>
      </c>
      <c r="M5" s="1">
        <v>-1</v>
      </c>
      <c r="N5" s="1" t="s">
        <v>17</v>
      </c>
    </row>
    <row r="6" spans="1:19">
      <c r="B6" s="1" t="s">
        <v>26</v>
      </c>
      <c r="C6" s="1" t="s">
        <v>27</v>
      </c>
      <c r="D6" s="1">
        <f t="shared" si="2"/>
        <v>2396.1816000000003</v>
      </c>
      <c r="E6" s="1">
        <v>2374.1997000000001</v>
      </c>
      <c r="F6" s="1">
        <f t="shared" si="3"/>
        <v>1187.6035000000002</v>
      </c>
      <c r="G6" s="1">
        <f t="shared" si="1"/>
        <v>792.0714333333334</v>
      </c>
      <c r="H6" s="1">
        <f t="shared" si="0"/>
        <v>594.30540000000008</v>
      </c>
      <c r="I6" s="1">
        <v>-1</v>
      </c>
      <c r="J6" s="1">
        <v>-1</v>
      </c>
      <c r="K6" s="1">
        <v>6</v>
      </c>
      <c r="L6" s="1">
        <v>0</v>
      </c>
      <c r="M6" s="1">
        <v>-1</v>
      </c>
      <c r="N6" s="1" t="s">
        <v>17</v>
      </c>
    </row>
    <row r="7" spans="1:19">
      <c r="A7" s="1">
        <v>15</v>
      </c>
      <c r="B7" s="1" t="s">
        <v>28</v>
      </c>
      <c r="C7" s="1" t="s">
        <v>29</v>
      </c>
      <c r="D7" s="1">
        <f t="shared" si="2"/>
        <v>2257.1197000000002</v>
      </c>
      <c r="E7" s="1">
        <v>2235.1378</v>
      </c>
      <c r="F7" s="1">
        <f t="shared" si="3"/>
        <v>1118.0725500000001</v>
      </c>
      <c r="G7" s="1">
        <f t="shared" si="1"/>
        <v>745.71746666666661</v>
      </c>
      <c r="H7" s="1">
        <f>(E7+1.0073*3)/4</f>
        <v>559.53992500000004</v>
      </c>
      <c r="I7" s="1">
        <v>-1</v>
      </c>
      <c r="J7" s="1">
        <v>-1</v>
      </c>
      <c r="K7" s="1">
        <v>7</v>
      </c>
      <c r="L7" s="1">
        <v>6</v>
      </c>
      <c r="M7" s="1">
        <v>-1</v>
      </c>
      <c r="N7" s="1" t="s">
        <v>30</v>
      </c>
    </row>
    <row r="8" spans="1:19">
      <c r="B8" s="1" t="s">
        <v>31</v>
      </c>
      <c r="C8" s="1" t="s">
        <v>32</v>
      </c>
      <c r="D8" s="1">
        <f t="shared" si="2"/>
        <v>2227.1091000000001</v>
      </c>
      <c r="E8" s="1">
        <v>2205.1271999999999</v>
      </c>
      <c r="F8" s="1">
        <f t="shared" si="3"/>
        <v>1103.0672500000001</v>
      </c>
      <c r="G8" s="1">
        <f t="shared" si="1"/>
        <v>735.71393333333333</v>
      </c>
      <c r="H8" s="1">
        <f t="shared" si="0"/>
        <v>552.03727500000002</v>
      </c>
      <c r="I8" s="1">
        <v>-1</v>
      </c>
      <c r="J8" s="1">
        <v>-1</v>
      </c>
      <c r="K8" s="1">
        <v>3</v>
      </c>
      <c r="L8" s="1">
        <v>3</v>
      </c>
      <c r="M8" s="1">
        <v>-1</v>
      </c>
      <c r="N8" s="1" t="s">
        <v>33</v>
      </c>
    </row>
    <row r="9" spans="1:19">
      <c r="A9" s="1">
        <v>24</v>
      </c>
      <c r="B9" s="1" t="s">
        <v>28</v>
      </c>
      <c r="C9" s="1" t="s">
        <v>34</v>
      </c>
      <c r="D9" s="1">
        <f t="shared" si="2"/>
        <v>2461.2194000000004</v>
      </c>
      <c r="E9" s="1">
        <v>2439.2375000000002</v>
      </c>
      <c r="F9" s="1">
        <f t="shared" si="3"/>
        <v>1220.1224000000002</v>
      </c>
      <c r="G9" s="1">
        <f t="shared" si="1"/>
        <v>813.75070000000005</v>
      </c>
      <c r="H9" s="1">
        <f t="shared" si="0"/>
        <v>610.56485000000009</v>
      </c>
      <c r="I9" s="1">
        <v>-1</v>
      </c>
      <c r="J9" s="1">
        <v>-1</v>
      </c>
      <c r="K9" s="1">
        <v>10</v>
      </c>
      <c r="L9" s="1">
        <v>8</v>
      </c>
      <c r="M9" s="1">
        <v>-1</v>
      </c>
      <c r="N9" s="1" t="s">
        <v>33</v>
      </c>
      <c r="O9" s="1" t="s">
        <v>35</v>
      </c>
    </row>
    <row r="10" spans="1:19">
      <c r="A10" s="1" t="s">
        <v>36</v>
      </c>
      <c r="B10" s="1" t="s">
        <v>31</v>
      </c>
      <c r="C10" s="1" t="s">
        <v>37</v>
      </c>
      <c r="D10" s="1">
        <f t="shared" si="2"/>
        <v>2431.2089000000001</v>
      </c>
      <c r="E10" s="1">
        <v>2409.2269999999999</v>
      </c>
      <c r="F10" s="1">
        <f t="shared" si="3"/>
        <v>1205.11715</v>
      </c>
      <c r="G10" s="1">
        <f t="shared" si="1"/>
        <v>803.74719999999991</v>
      </c>
      <c r="H10" s="1">
        <f t="shared" si="0"/>
        <v>603.06222500000001</v>
      </c>
      <c r="I10" s="1">
        <v>-1</v>
      </c>
      <c r="J10" s="1">
        <v>-1</v>
      </c>
      <c r="K10" s="1">
        <v>3</v>
      </c>
      <c r="L10" s="1">
        <v>10</v>
      </c>
      <c r="M10" s="1">
        <v>-1</v>
      </c>
      <c r="N10" s="1" t="s">
        <v>33</v>
      </c>
      <c r="O10" s="1" t="s">
        <v>38</v>
      </c>
    </row>
    <row r="11" spans="1:19">
      <c r="A11" s="1">
        <v>19</v>
      </c>
      <c r="B11" s="1" t="s">
        <v>39</v>
      </c>
      <c r="C11" s="1" t="s">
        <v>40</v>
      </c>
      <c r="D11" s="1">
        <f t="shared" si="2"/>
        <v>2285.1510000000003</v>
      </c>
      <c r="E11" s="1">
        <v>2263.1691000000001</v>
      </c>
      <c r="F11" s="1">
        <f t="shared" si="3"/>
        <v>1132.0882000000001</v>
      </c>
      <c r="G11" s="1">
        <f t="shared" si="1"/>
        <v>755.06123333333335</v>
      </c>
      <c r="H11" s="1">
        <f t="shared" si="0"/>
        <v>566.54775000000006</v>
      </c>
      <c r="I11" s="1">
        <v>-1</v>
      </c>
      <c r="J11" s="1">
        <v>-1</v>
      </c>
      <c r="K11" s="1">
        <v>0</v>
      </c>
      <c r="L11" s="1">
        <v>0</v>
      </c>
      <c r="M11" s="1">
        <v>-1</v>
      </c>
      <c r="N11" s="1" t="s">
        <v>30</v>
      </c>
    </row>
    <row r="12" spans="1:19">
      <c r="B12" s="1" t="s">
        <v>41</v>
      </c>
      <c r="C12" s="1" t="s">
        <v>40</v>
      </c>
      <c r="D12" s="1">
        <f t="shared" si="2"/>
        <v>2285.1510000000003</v>
      </c>
      <c r="E12" s="1">
        <v>2263.1691000000001</v>
      </c>
      <c r="F12" s="1">
        <f t="shared" si="3"/>
        <v>1132.0882000000001</v>
      </c>
      <c r="G12" s="1">
        <f t="shared" si="1"/>
        <v>755.06123333333335</v>
      </c>
      <c r="H12" s="1">
        <f t="shared" si="0"/>
        <v>566.54775000000006</v>
      </c>
      <c r="I12" s="1">
        <v>-1</v>
      </c>
      <c r="J12" s="1">
        <v>-1</v>
      </c>
      <c r="K12" s="1">
        <v>6</v>
      </c>
      <c r="L12" s="1">
        <v>0</v>
      </c>
      <c r="M12" s="1">
        <v>-1</v>
      </c>
      <c r="N12" s="1" t="s">
        <v>42</v>
      </c>
    </row>
    <row r="13" spans="1:19">
      <c r="A13" s="1">
        <v>42</v>
      </c>
      <c r="B13" s="1" t="s">
        <v>43</v>
      </c>
      <c r="C13" s="1" t="s">
        <v>44</v>
      </c>
      <c r="D13" s="1">
        <f t="shared" si="2"/>
        <v>2663.3399000000004</v>
      </c>
      <c r="E13" s="1">
        <v>2641.3580000000002</v>
      </c>
      <c r="F13" s="1">
        <f t="shared" si="3"/>
        <v>1321.1826500000002</v>
      </c>
      <c r="G13" s="1">
        <f t="shared" si="1"/>
        <v>881.12420000000009</v>
      </c>
      <c r="H13" s="1">
        <f t="shared" si="0"/>
        <v>661.09497500000009</v>
      </c>
      <c r="I13" s="1">
        <v>-1</v>
      </c>
      <c r="J13" s="1">
        <v>-1</v>
      </c>
      <c r="K13" s="1">
        <v>6</v>
      </c>
      <c r="L13" s="1">
        <v>3</v>
      </c>
      <c r="M13" s="1">
        <v>-1</v>
      </c>
      <c r="N13" s="1" t="s">
        <v>30</v>
      </c>
    </row>
    <row r="14" spans="1:19">
      <c r="A14" s="1">
        <v>58</v>
      </c>
      <c r="B14" s="1" t="s">
        <v>45</v>
      </c>
      <c r="C14" s="1" t="s">
        <v>46</v>
      </c>
      <c r="D14" s="1">
        <f t="shared" si="2"/>
        <v>2904.4462000000003</v>
      </c>
      <c r="E14" s="1">
        <v>2882.4643000000001</v>
      </c>
      <c r="F14" s="1">
        <f t="shared" si="3"/>
        <v>1441.7358000000002</v>
      </c>
      <c r="G14" s="1">
        <f t="shared" si="1"/>
        <v>961.49296666666669</v>
      </c>
      <c r="H14" s="1">
        <f t="shared" si="0"/>
        <v>721.37155000000007</v>
      </c>
      <c r="I14" s="1">
        <v>-1</v>
      </c>
      <c r="J14" s="1">
        <v>-1</v>
      </c>
      <c r="K14" s="1">
        <v>6</v>
      </c>
      <c r="L14" s="1">
        <v>8</v>
      </c>
      <c r="M14" s="1">
        <v>-1</v>
      </c>
      <c r="N14" s="1" t="s">
        <v>30</v>
      </c>
    </row>
    <row r="15" spans="1:19">
      <c r="A15" s="1">
        <v>59</v>
      </c>
      <c r="B15" s="1" t="s">
        <v>47</v>
      </c>
      <c r="C15" s="1" t="s">
        <v>48</v>
      </c>
      <c r="D15" s="1">
        <f t="shared" si="2"/>
        <v>2934.4568000000004</v>
      </c>
      <c r="E15" s="1">
        <v>2912.4749000000002</v>
      </c>
      <c r="F15" s="1">
        <f t="shared" si="3"/>
        <v>1456.7411000000002</v>
      </c>
      <c r="G15" s="1">
        <f t="shared" si="1"/>
        <v>971.49650000000008</v>
      </c>
      <c r="H15" s="1">
        <f t="shared" si="0"/>
        <v>728.87420000000009</v>
      </c>
      <c r="I15" s="1">
        <v>-1</v>
      </c>
      <c r="J15" s="1">
        <v>-1</v>
      </c>
      <c r="K15" s="1">
        <v>7</v>
      </c>
      <c r="L15" s="1">
        <v>10</v>
      </c>
      <c r="M15" s="1">
        <v>-1</v>
      </c>
      <c r="N15" s="1" t="s">
        <v>30</v>
      </c>
    </row>
    <row r="16" spans="1:19">
      <c r="B16" s="1" t="s">
        <v>49</v>
      </c>
      <c r="C16" s="1" t="s">
        <v>50</v>
      </c>
      <c r="D16" s="1">
        <f t="shared" si="2"/>
        <v>2874.4356000000002</v>
      </c>
      <c r="E16" s="1">
        <v>2852.4537</v>
      </c>
      <c r="F16" s="1">
        <f t="shared" si="3"/>
        <v>1426.7305000000001</v>
      </c>
      <c r="G16" s="1">
        <f t="shared" si="1"/>
        <v>951.4894333333333</v>
      </c>
      <c r="H16" s="1">
        <f t="shared" si="0"/>
        <v>713.86890000000005</v>
      </c>
      <c r="I16" s="1">
        <v>-1</v>
      </c>
      <c r="J16" s="1">
        <v>-1</v>
      </c>
      <c r="K16" s="1">
        <v>2</v>
      </c>
      <c r="L16" s="1">
        <v>4</v>
      </c>
      <c r="M16" s="1">
        <v>-1</v>
      </c>
      <c r="N16" s="1" t="s">
        <v>33</v>
      </c>
    </row>
    <row r="17" spans="1:15">
      <c r="A17" s="1">
        <v>77</v>
      </c>
      <c r="B17" s="1" t="s">
        <v>51</v>
      </c>
      <c r="C17" s="1" t="s">
        <v>52</v>
      </c>
      <c r="D17" s="1">
        <f t="shared" si="2"/>
        <v>3187.5868</v>
      </c>
      <c r="E17" s="1">
        <v>3165.6048999999998</v>
      </c>
      <c r="F17" s="1">
        <f t="shared" si="3"/>
        <v>1583.3061</v>
      </c>
      <c r="G17" s="1">
        <f t="shared" si="1"/>
        <v>1055.8731666666665</v>
      </c>
      <c r="H17" s="1">
        <f t="shared" si="0"/>
        <v>792.1567</v>
      </c>
      <c r="I17" s="1">
        <v>-1</v>
      </c>
      <c r="J17" s="1">
        <v>-1</v>
      </c>
      <c r="K17" s="1">
        <v>4</v>
      </c>
      <c r="L17" s="1">
        <v>6</v>
      </c>
      <c r="M17" s="1">
        <v>-1</v>
      </c>
      <c r="N17" s="1" t="s">
        <v>30</v>
      </c>
    </row>
    <row r="18" spans="1:15">
      <c r="A18" s="1">
        <v>81</v>
      </c>
      <c r="B18" s="1" t="s">
        <v>51</v>
      </c>
      <c r="C18" s="1" t="s">
        <v>53</v>
      </c>
      <c r="D18" s="1">
        <f t="shared" si="2"/>
        <v>3217.5974000000001</v>
      </c>
      <c r="E18" s="1">
        <v>3195.6154999999999</v>
      </c>
      <c r="F18" s="1">
        <f t="shared" si="3"/>
        <v>1598.3114</v>
      </c>
      <c r="G18" s="1">
        <f t="shared" si="1"/>
        <v>1065.8767</v>
      </c>
      <c r="H18" s="1">
        <f t="shared" si="0"/>
        <v>799.65935000000002</v>
      </c>
      <c r="I18" s="1">
        <v>-1</v>
      </c>
      <c r="J18" s="1">
        <v>-1</v>
      </c>
      <c r="K18" s="1">
        <v>4</v>
      </c>
      <c r="L18" s="1">
        <v>1</v>
      </c>
      <c r="M18" s="1">
        <v>-1</v>
      </c>
      <c r="N18" s="1" t="s">
        <v>30</v>
      </c>
    </row>
    <row r="19" spans="1:15">
      <c r="A19" s="1">
        <v>85</v>
      </c>
      <c r="B19" s="1" t="s">
        <v>43</v>
      </c>
      <c r="C19" s="1" t="s">
        <v>54</v>
      </c>
      <c r="D19" s="1">
        <f t="shared" si="2"/>
        <v>3245.6287000000002</v>
      </c>
      <c r="E19" s="1">
        <v>3223.6468</v>
      </c>
      <c r="F19" s="1">
        <f t="shared" si="3"/>
        <v>1612.3270500000001</v>
      </c>
      <c r="G19" s="1">
        <f t="shared" si="1"/>
        <v>1075.2204666666667</v>
      </c>
      <c r="H19" s="1">
        <f t="shared" si="0"/>
        <v>806.66717500000004</v>
      </c>
      <c r="I19" s="1">
        <v>-1</v>
      </c>
      <c r="J19" s="1">
        <v>-1</v>
      </c>
      <c r="K19" s="1">
        <v>5</v>
      </c>
      <c r="L19" s="1">
        <v>8</v>
      </c>
      <c r="M19" s="1">
        <v>-1</v>
      </c>
      <c r="N19" s="1" t="s">
        <v>30</v>
      </c>
      <c r="O19" s="1" t="s">
        <v>55</v>
      </c>
    </row>
    <row r="20" spans="1:15">
      <c r="A20" s="1">
        <v>89</v>
      </c>
      <c r="B20" s="1" t="s">
        <v>51</v>
      </c>
      <c r="C20" s="1" t="s">
        <v>56</v>
      </c>
      <c r="D20" s="1">
        <f t="shared" si="2"/>
        <v>3548.7605000000003</v>
      </c>
      <c r="E20" s="1">
        <v>3526.7786000000001</v>
      </c>
      <c r="F20" s="1">
        <f t="shared" si="3"/>
        <v>1763.8929500000002</v>
      </c>
      <c r="G20" s="1">
        <f t="shared" si="1"/>
        <v>1176.2644</v>
      </c>
      <c r="H20" s="1">
        <f t="shared" si="0"/>
        <v>882.45012500000007</v>
      </c>
      <c r="I20" s="1">
        <v>-1</v>
      </c>
      <c r="J20" s="1">
        <v>-1</v>
      </c>
      <c r="K20" s="1">
        <v>9</v>
      </c>
      <c r="L20" s="1">
        <v>5</v>
      </c>
      <c r="M20" s="1">
        <v>-1</v>
      </c>
      <c r="N20" s="1" t="s">
        <v>30</v>
      </c>
    </row>
    <row r="21" spans="1:15">
      <c r="A21" s="1">
        <v>90</v>
      </c>
      <c r="B21" s="1" t="s">
        <v>51</v>
      </c>
      <c r="C21" s="1" t="s">
        <v>57</v>
      </c>
      <c r="D21" s="1">
        <f t="shared" si="2"/>
        <v>3578.7711000000004</v>
      </c>
      <c r="E21" s="1">
        <v>3556.7892000000002</v>
      </c>
      <c r="F21" s="1">
        <f t="shared" si="3"/>
        <v>1778.8982500000002</v>
      </c>
      <c r="G21" s="1">
        <f t="shared" si="1"/>
        <v>1186.2679333333333</v>
      </c>
      <c r="H21" s="1">
        <f t="shared" si="0"/>
        <v>889.95277500000009</v>
      </c>
      <c r="I21" s="1">
        <v>-1</v>
      </c>
      <c r="J21" s="1">
        <v>-1</v>
      </c>
      <c r="K21" s="1">
        <v>2</v>
      </c>
      <c r="L21" s="1">
        <v>0</v>
      </c>
      <c r="M21" s="1">
        <v>-1</v>
      </c>
      <c r="N21" s="1" t="s">
        <v>30</v>
      </c>
    </row>
    <row r="22" spans="1:15">
      <c r="A22" s="1">
        <v>91</v>
      </c>
      <c r="B22" s="1" t="s">
        <v>51</v>
      </c>
      <c r="C22" s="3" t="s">
        <v>58</v>
      </c>
      <c r="D22" s="1">
        <f t="shared" si="2"/>
        <v>3608.7816000000003</v>
      </c>
      <c r="E22" s="1">
        <v>3586.7997</v>
      </c>
      <c r="F22" s="1">
        <f t="shared" si="3"/>
        <v>1793.9035000000001</v>
      </c>
      <c r="G22" s="1">
        <f t="shared" si="1"/>
        <v>1196.2714333333333</v>
      </c>
      <c r="H22" s="1">
        <f t="shared" si="0"/>
        <v>897.45540000000005</v>
      </c>
      <c r="I22" s="1">
        <v>-1</v>
      </c>
      <c r="J22" s="1">
        <v>-1</v>
      </c>
      <c r="K22" s="1">
        <v>7</v>
      </c>
      <c r="L22" s="1">
        <v>1</v>
      </c>
      <c r="M22" s="1">
        <v>-1</v>
      </c>
      <c r="N22" s="1" t="s">
        <v>30</v>
      </c>
    </row>
    <row r="23" spans="1:15">
      <c r="A23" s="1">
        <v>26</v>
      </c>
      <c r="B23" s="1" t="s">
        <v>59</v>
      </c>
      <c r="C23" s="1" t="s">
        <v>60</v>
      </c>
      <c r="D23" s="1">
        <f t="shared" si="2"/>
        <v>2489.2507000000001</v>
      </c>
      <c r="E23" s="1">
        <v>2467.2687999999998</v>
      </c>
      <c r="F23" s="1">
        <f t="shared" si="3"/>
        <v>1234.13805</v>
      </c>
      <c r="G23" s="1">
        <f t="shared" si="1"/>
        <v>823.09446666666656</v>
      </c>
      <c r="H23" s="1">
        <f t="shared" si="0"/>
        <v>617.572675</v>
      </c>
      <c r="I23" s="1">
        <v>-1</v>
      </c>
      <c r="J23" s="1">
        <v>-1</v>
      </c>
      <c r="K23" s="1">
        <v>6</v>
      </c>
      <c r="L23" s="1">
        <v>3</v>
      </c>
      <c r="M23" s="1">
        <v>-1</v>
      </c>
      <c r="N23" s="1" t="s">
        <v>61</v>
      </c>
    </row>
    <row r="24" spans="1:15">
      <c r="A24" s="1">
        <v>1</v>
      </c>
      <c r="B24" s="1" t="s">
        <v>62</v>
      </c>
      <c r="C24" s="1" t="s">
        <v>63</v>
      </c>
      <c r="D24" s="1">
        <f t="shared" si="2"/>
        <v>1661.8357000000001</v>
      </c>
      <c r="E24" s="1">
        <v>1639.8538000000001</v>
      </c>
      <c r="F24" s="1">
        <f t="shared" si="3"/>
        <v>820.43055000000004</v>
      </c>
      <c r="G24" s="1">
        <f t="shared" si="1"/>
        <v>547.28946666666673</v>
      </c>
      <c r="H24" s="1">
        <f t="shared" si="0"/>
        <v>410.71892500000001</v>
      </c>
      <c r="I24" s="1">
        <v>0</v>
      </c>
      <c r="J24" s="1">
        <v>0</v>
      </c>
      <c r="K24" s="1">
        <v>8</v>
      </c>
      <c r="L24" s="1">
        <v>0</v>
      </c>
      <c r="M24" s="1">
        <v>-1</v>
      </c>
      <c r="N24" s="1" t="s">
        <v>61</v>
      </c>
    </row>
    <row r="25" spans="1:15">
      <c r="B25" s="1" t="s">
        <v>64</v>
      </c>
      <c r="C25" s="1" t="s">
        <v>65</v>
      </c>
      <c r="D25" s="1">
        <f t="shared" si="2"/>
        <v>1906.962</v>
      </c>
      <c r="E25" s="1">
        <v>1884.9801</v>
      </c>
      <c r="F25" s="1">
        <f t="shared" si="3"/>
        <v>942.99369999999999</v>
      </c>
      <c r="G25" s="1">
        <f t="shared" si="1"/>
        <v>628.99823333333336</v>
      </c>
      <c r="H25" s="1">
        <f t="shared" si="0"/>
        <v>472.00049999999999</v>
      </c>
      <c r="I25" s="1">
        <v>0</v>
      </c>
      <c r="J25" s="1">
        <v>0</v>
      </c>
      <c r="K25" s="1">
        <v>13</v>
      </c>
      <c r="L25" s="1">
        <v>0</v>
      </c>
      <c r="M25" s="1">
        <v>-1</v>
      </c>
      <c r="N25" s="1" t="s">
        <v>61</v>
      </c>
    </row>
    <row r="26" spans="1:15">
      <c r="A26" s="1" t="s">
        <v>66</v>
      </c>
      <c r="B26" s="1" t="s">
        <v>67</v>
      </c>
      <c r="C26" s="1" t="s">
        <v>68</v>
      </c>
      <c r="D26" s="1">
        <f t="shared" si="2"/>
        <v>3228.6134000000002</v>
      </c>
      <c r="E26" s="1">
        <v>3206.6315</v>
      </c>
      <c r="F26" s="1">
        <f t="shared" si="3"/>
        <v>1603.8194000000001</v>
      </c>
      <c r="G26" s="1">
        <f t="shared" si="1"/>
        <v>1069.5487000000001</v>
      </c>
      <c r="H26" s="1">
        <f t="shared" si="0"/>
        <v>802.41335000000004</v>
      </c>
      <c r="I26" s="1">
        <v>-1</v>
      </c>
      <c r="J26" s="1">
        <v>-1</v>
      </c>
      <c r="K26" s="1">
        <v>0</v>
      </c>
      <c r="L26" s="1">
        <v>1</v>
      </c>
      <c r="M26" s="1">
        <v>-1</v>
      </c>
      <c r="N26" s="1" t="s">
        <v>61</v>
      </c>
    </row>
    <row r="27" spans="1:15">
      <c r="A27" s="1">
        <v>2</v>
      </c>
      <c r="B27" s="1" t="s">
        <v>69</v>
      </c>
      <c r="C27" s="1" t="s">
        <v>70</v>
      </c>
      <c r="D27" s="1">
        <f t="shared" si="2"/>
        <v>1824.9088999999999</v>
      </c>
      <c r="E27" s="1">
        <v>1802.9269999999999</v>
      </c>
      <c r="F27" s="1">
        <f t="shared" si="3"/>
        <v>901.96714999999995</v>
      </c>
      <c r="G27" s="1">
        <f t="shared" si="1"/>
        <v>601.6472</v>
      </c>
      <c r="H27" s="1">
        <f t="shared" si="0"/>
        <v>451.48722499999997</v>
      </c>
      <c r="I27" s="1">
        <v>0</v>
      </c>
      <c r="J27" s="1">
        <v>0</v>
      </c>
      <c r="K27" s="1">
        <v>1</v>
      </c>
      <c r="L27" s="1">
        <v>0</v>
      </c>
      <c r="M27" s="1">
        <v>-1</v>
      </c>
      <c r="N27" s="1" t="s">
        <v>30</v>
      </c>
      <c r="O27" s="1" t="s">
        <v>71</v>
      </c>
    </row>
    <row r="28" spans="1:15">
      <c r="A28" s="1">
        <v>4</v>
      </c>
      <c r="B28" s="1" t="s">
        <v>72</v>
      </c>
      <c r="C28" s="1" t="s">
        <v>73</v>
      </c>
      <c r="D28" s="1">
        <f t="shared" si="2"/>
        <v>1835.9249</v>
      </c>
      <c r="E28" s="1">
        <v>1813.943</v>
      </c>
      <c r="F28" s="1">
        <f t="shared" si="3"/>
        <v>907.47514999999999</v>
      </c>
      <c r="G28" s="1">
        <f t="shared" si="1"/>
        <v>605.31920000000002</v>
      </c>
      <c r="H28" s="1">
        <f t="shared" si="0"/>
        <v>454.24122499999999</v>
      </c>
      <c r="I28" s="1">
        <v>0</v>
      </c>
      <c r="J28" s="1">
        <v>0</v>
      </c>
      <c r="K28" s="1">
        <v>3</v>
      </c>
      <c r="L28" s="1">
        <v>0</v>
      </c>
      <c r="M28" s="1">
        <v>-1</v>
      </c>
      <c r="N28" s="1" t="s">
        <v>30</v>
      </c>
      <c r="O28" s="1" t="s">
        <v>71</v>
      </c>
    </row>
    <row r="29" spans="1:15">
      <c r="A29" s="1">
        <v>5</v>
      </c>
      <c r="B29" s="1" t="s">
        <v>74</v>
      </c>
      <c r="C29" s="1" t="s">
        <v>75</v>
      </c>
      <c r="D29" s="1">
        <f t="shared" si="2"/>
        <v>1865.9354000000001</v>
      </c>
      <c r="E29" s="1">
        <v>1843.9535000000001</v>
      </c>
      <c r="F29" s="1">
        <f t="shared" si="3"/>
        <v>922.48040000000003</v>
      </c>
      <c r="G29" s="1">
        <f t="shared" si="1"/>
        <v>615.32270000000005</v>
      </c>
      <c r="H29" s="1">
        <f t="shared" si="0"/>
        <v>461.74385000000001</v>
      </c>
      <c r="I29" s="1">
        <v>0</v>
      </c>
      <c r="J29" s="1">
        <v>0</v>
      </c>
      <c r="K29" s="1">
        <v>1</v>
      </c>
      <c r="L29" s="1">
        <v>0</v>
      </c>
      <c r="M29" s="1">
        <v>-1</v>
      </c>
      <c r="O29" s="1" t="s">
        <v>71</v>
      </c>
    </row>
    <row r="30" spans="1:15">
      <c r="A30" s="1" t="s">
        <v>76</v>
      </c>
      <c r="B30" s="1" t="s">
        <v>69</v>
      </c>
      <c r="C30" s="1" t="s">
        <v>77</v>
      </c>
      <c r="D30" s="1">
        <f t="shared" si="2"/>
        <v>2029.0087000000001</v>
      </c>
      <c r="E30" s="1">
        <v>2007.0268000000001</v>
      </c>
      <c r="F30" s="1">
        <f t="shared" si="3"/>
        <v>1004.01705</v>
      </c>
      <c r="G30" s="1">
        <f t="shared" si="1"/>
        <v>669.68046666666669</v>
      </c>
      <c r="H30" s="1">
        <f t="shared" si="0"/>
        <v>502.51217500000001</v>
      </c>
      <c r="I30" s="1">
        <v>-1</v>
      </c>
      <c r="J30" s="1">
        <v>-1</v>
      </c>
      <c r="K30" s="1">
        <v>0</v>
      </c>
      <c r="L30" s="1">
        <v>0</v>
      </c>
      <c r="M30" s="1">
        <v>-1</v>
      </c>
      <c r="N30" s="1" t="s">
        <v>30</v>
      </c>
      <c r="O30" s="1" t="s">
        <v>71</v>
      </c>
    </row>
    <row r="31" spans="1:15">
      <c r="A31" s="1">
        <v>8</v>
      </c>
      <c r="B31" s="1" t="s">
        <v>72</v>
      </c>
      <c r="C31" s="1" t="s">
        <v>78</v>
      </c>
      <c r="D31" s="1">
        <f t="shared" si="2"/>
        <v>2040.0246</v>
      </c>
      <c r="E31" s="1">
        <v>2018.0427</v>
      </c>
      <c r="F31" s="1">
        <f t="shared" si="3"/>
        <v>1009.525</v>
      </c>
      <c r="G31" s="1">
        <f t="shared" si="1"/>
        <v>673.35243333333335</v>
      </c>
      <c r="H31" s="1">
        <f t="shared" si="0"/>
        <v>505.26614999999998</v>
      </c>
      <c r="I31" s="1">
        <v>-1</v>
      </c>
      <c r="J31" s="1">
        <v>-1</v>
      </c>
      <c r="K31" s="1">
        <v>0</v>
      </c>
      <c r="L31" s="1">
        <v>0</v>
      </c>
      <c r="M31" s="1">
        <v>-1</v>
      </c>
      <c r="N31" s="1" t="s">
        <v>30</v>
      </c>
      <c r="O31" s="1" t="s">
        <v>79</v>
      </c>
    </row>
    <row r="32" spans="1:15">
      <c r="A32" s="1" t="s">
        <v>80</v>
      </c>
      <c r="B32" s="1" t="s">
        <v>72</v>
      </c>
      <c r="C32" s="1" t="s">
        <v>81</v>
      </c>
      <c r="D32" s="1">
        <f t="shared" si="2"/>
        <v>2070.0352000000003</v>
      </c>
      <c r="E32" s="1">
        <v>2048.0533</v>
      </c>
      <c r="F32" s="1">
        <f t="shared" si="3"/>
        <v>1024.5303000000001</v>
      </c>
      <c r="G32" s="1">
        <f t="shared" si="1"/>
        <v>683.35596666666663</v>
      </c>
      <c r="H32" s="1">
        <f t="shared" si="0"/>
        <v>512.76880000000006</v>
      </c>
      <c r="I32" s="1">
        <v>-1</v>
      </c>
      <c r="J32" s="1">
        <v>-1</v>
      </c>
      <c r="K32" s="1">
        <v>2</v>
      </c>
      <c r="L32" s="1">
        <v>0</v>
      </c>
      <c r="M32" s="1">
        <v>-1</v>
      </c>
      <c r="N32" s="1" t="s">
        <v>30</v>
      </c>
      <c r="O32" s="1" t="s">
        <v>71</v>
      </c>
    </row>
    <row r="33" spans="1:15">
      <c r="A33" s="1">
        <v>12</v>
      </c>
      <c r="B33" s="1" t="s">
        <v>82</v>
      </c>
      <c r="C33" s="1" t="s">
        <v>83</v>
      </c>
      <c r="D33" s="1">
        <f t="shared" si="2"/>
        <v>2081.0512000000003</v>
      </c>
      <c r="E33" s="1">
        <v>2059.0693000000001</v>
      </c>
      <c r="F33" s="1">
        <f t="shared" si="3"/>
        <v>1030.0383000000002</v>
      </c>
      <c r="G33" s="1">
        <f t="shared" si="1"/>
        <v>687.02796666666666</v>
      </c>
      <c r="H33" s="1">
        <f t="shared" si="0"/>
        <v>515.52280000000007</v>
      </c>
      <c r="I33" s="1">
        <v>-1</v>
      </c>
      <c r="J33" s="1">
        <v>-1</v>
      </c>
      <c r="K33" s="1">
        <v>5</v>
      </c>
      <c r="L33" s="1">
        <v>1</v>
      </c>
      <c r="M33" s="1">
        <v>-1</v>
      </c>
      <c r="N33" s="1" t="s">
        <v>30</v>
      </c>
      <c r="O33" s="1" t="s">
        <v>71</v>
      </c>
    </row>
    <row r="34" spans="1:15">
      <c r="A34" s="1" t="s">
        <v>84</v>
      </c>
      <c r="B34" s="1" t="s">
        <v>72</v>
      </c>
      <c r="C34" s="1" t="s">
        <v>85</v>
      </c>
      <c r="D34" s="1">
        <f t="shared" si="2"/>
        <v>2244.1244000000002</v>
      </c>
      <c r="E34" s="1">
        <v>2222.1424999999999</v>
      </c>
      <c r="F34" s="1">
        <f t="shared" si="3"/>
        <v>1111.5749000000001</v>
      </c>
      <c r="G34" s="1">
        <f t="shared" si="1"/>
        <v>741.38569999999993</v>
      </c>
      <c r="H34" s="1">
        <f t="shared" si="0"/>
        <v>556.29110000000003</v>
      </c>
      <c r="I34" s="1">
        <v>-1</v>
      </c>
      <c r="J34" s="1">
        <v>-1</v>
      </c>
      <c r="K34" s="1">
        <v>0</v>
      </c>
      <c r="L34" s="1">
        <v>0</v>
      </c>
      <c r="M34" s="1">
        <v>-1</v>
      </c>
      <c r="N34" s="1" t="s">
        <v>30</v>
      </c>
      <c r="O34" s="1" t="s">
        <v>86</v>
      </c>
    </row>
    <row r="35" spans="1:15">
      <c r="A35" s="1" t="s">
        <v>87</v>
      </c>
      <c r="B35" s="1" t="s">
        <v>88</v>
      </c>
      <c r="C35" s="1" t="s">
        <v>89</v>
      </c>
      <c r="D35" s="1">
        <f t="shared" si="2"/>
        <v>2448.2242000000001</v>
      </c>
      <c r="E35" s="1">
        <v>2426.2422999999999</v>
      </c>
      <c r="F35" s="1">
        <f t="shared" si="3"/>
        <v>1213.6248000000001</v>
      </c>
      <c r="G35" s="1">
        <f t="shared" si="1"/>
        <v>809.41896666666662</v>
      </c>
      <c r="H35" s="1">
        <f t="shared" si="0"/>
        <v>607.31605000000002</v>
      </c>
      <c r="I35" s="1">
        <v>-1</v>
      </c>
      <c r="J35" s="1">
        <v>-1</v>
      </c>
      <c r="K35" s="1">
        <v>0</v>
      </c>
      <c r="L35" s="1">
        <v>0</v>
      </c>
      <c r="M35" s="1">
        <v>-1</v>
      </c>
      <c r="N35" s="1" t="s">
        <v>30</v>
      </c>
      <c r="O35" s="1" t="s">
        <v>86</v>
      </c>
    </row>
    <row r="36" spans="1:15">
      <c r="A36" s="1">
        <v>23</v>
      </c>
      <c r="B36" s="1" t="s">
        <v>90</v>
      </c>
      <c r="C36" s="1" t="s">
        <v>91</v>
      </c>
      <c r="D36" s="1">
        <f t="shared" si="2"/>
        <v>2459.2402000000002</v>
      </c>
      <c r="E36" s="1">
        <v>2437.2583</v>
      </c>
      <c r="F36" s="1">
        <f t="shared" si="3"/>
        <v>1219.1328000000001</v>
      </c>
      <c r="G36" s="1">
        <f t="shared" si="1"/>
        <v>813.09096666666665</v>
      </c>
      <c r="H36" s="1">
        <f t="shared" si="0"/>
        <v>610.07005000000004</v>
      </c>
      <c r="I36" s="1">
        <v>-1</v>
      </c>
      <c r="J36" s="1">
        <v>-1</v>
      </c>
      <c r="K36" s="1">
        <v>0</v>
      </c>
      <c r="L36" s="1">
        <v>0</v>
      </c>
      <c r="M36" s="1">
        <v>-1</v>
      </c>
      <c r="N36" s="1" t="s">
        <v>30</v>
      </c>
      <c r="O36" s="1" t="s">
        <v>86</v>
      </c>
    </row>
    <row r="37" spans="1:15">
      <c r="A37" s="1" t="s">
        <v>92</v>
      </c>
      <c r="B37" s="1" t="s">
        <v>93</v>
      </c>
      <c r="C37" s="1" t="s">
        <v>94</v>
      </c>
      <c r="D37" s="1">
        <f t="shared" si="2"/>
        <v>2605.2981000000004</v>
      </c>
      <c r="E37" s="1">
        <v>2583.3162000000002</v>
      </c>
      <c r="F37" s="1">
        <f t="shared" si="3"/>
        <v>1292.1617500000002</v>
      </c>
      <c r="G37" s="1">
        <f t="shared" si="1"/>
        <v>861.77693333333343</v>
      </c>
      <c r="H37" s="1">
        <f t="shared" si="0"/>
        <v>646.5845250000001</v>
      </c>
      <c r="I37" s="1">
        <v>-1</v>
      </c>
      <c r="J37" s="1">
        <v>-1</v>
      </c>
      <c r="K37" s="1">
        <v>2</v>
      </c>
      <c r="L37" s="1">
        <v>4</v>
      </c>
      <c r="M37" s="1">
        <v>-1</v>
      </c>
      <c r="N37" s="1" t="s">
        <v>30</v>
      </c>
      <c r="O37" s="1" t="s">
        <v>95</v>
      </c>
    </row>
    <row r="38" spans="1:15">
      <c r="A38" s="1" t="s">
        <v>96</v>
      </c>
      <c r="C38" s="1" t="s">
        <v>97</v>
      </c>
      <c r="D38" s="1">
        <f t="shared" si="2"/>
        <v>2622.3134</v>
      </c>
      <c r="E38" s="1">
        <v>2600.3314999999998</v>
      </c>
      <c r="F38" s="1">
        <f t="shared" si="3"/>
        <v>1300.6694</v>
      </c>
      <c r="G38" s="1">
        <f t="shared" si="1"/>
        <v>867.44869999999992</v>
      </c>
      <c r="H38" s="1">
        <f t="shared" si="0"/>
        <v>650.83834999999999</v>
      </c>
      <c r="I38" s="1">
        <v>-1</v>
      </c>
      <c r="J38" s="1">
        <v>-1</v>
      </c>
      <c r="K38" s="1">
        <v>0</v>
      </c>
      <c r="L38" s="1">
        <v>0</v>
      </c>
      <c r="M38" s="1">
        <v>-1</v>
      </c>
      <c r="N38" s="1" t="s">
        <v>30</v>
      </c>
    </row>
    <row r="39" spans="1:15">
      <c r="A39" s="1" t="s">
        <v>98</v>
      </c>
      <c r="B39" s="1" t="s">
        <v>93</v>
      </c>
      <c r="C39" s="1" t="s">
        <v>99</v>
      </c>
      <c r="D39" s="1">
        <f t="shared" si="2"/>
        <v>2635.3086000000003</v>
      </c>
      <c r="E39" s="1">
        <v>2613.3267000000001</v>
      </c>
      <c r="F39" s="1">
        <f t="shared" si="3"/>
        <v>1307.1670000000001</v>
      </c>
      <c r="G39" s="1">
        <f t="shared" si="1"/>
        <v>871.78043333333335</v>
      </c>
      <c r="H39" s="1">
        <f t="shared" si="0"/>
        <v>654.08715000000007</v>
      </c>
      <c r="I39" s="1">
        <v>-1</v>
      </c>
      <c r="J39" s="1">
        <v>-1</v>
      </c>
      <c r="K39" s="1">
        <v>0</v>
      </c>
      <c r="L39" s="1">
        <v>0</v>
      </c>
      <c r="M39" s="1">
        <v>-1</v>
      </c>
      <c r="N39" s="1" t="s">
        <v>30</v>
      </c>
    </row>
    <row r="40" spans="1:15">
      <c r="A40" s="1" t="s">
        <v>100</v>
      </c>
      <c r="B40" s="1" t="s">
        <v>93</v>
      </c>
      <c r="C40" s="1" t="s">
        <v>101</v>
      </c>
      <c r="D40" s="1">
        <f t="shared" si="2"/>
        <v>2635.3086000000003</v>
      </c>
      <c r="E40" s="1">
        <v>2613.3267000000001</v>
      </c>
      <c r="F40" s="1">
        <f t="shared" si="3"/>
        <v>1307.1670000000001</v>
      </c>
      <c r="G40" s="1">
        <f t="shared" si="1"/>
        <v>871.78043333333335</v>
      </c>
      <c r="H40" s="1">
        <f t="shared" si="0"/>
        <v>654.08715000000007</v>
      </c>
      <c r="I40" s="1">
        <v>-1</v>
      </c>
      <c r="J40" s="1">
        <v>-1</v>
      </c>
      <c r="K40" s="1">
        <v>1</v>
      </c>
      <c r="L40" s="1">
        <v>1</v>
      </c>
      <c r="M40" s="1">
        <v>-1</v>
      </c>
      <c r="N40" s="1" t="s">
        <v>30</v>
      </c>
      <c r="O40" s="1" t="s">
        <v>102</v>
      </c>
    </row>
    <row r="41" spans="1:15">
      <c r="A41" s="1" t="s">
        <v>103</v>
      </c>
      <c r="B41" s="1" t="s">
        <v>104</v>
      </c>
      <c r="C41" s="1" t="s">
        <v>105</v>
      </c>
      <c r="D41" s="1">
        <f t="shared" si="2"/>
        <v>2693.3505</v>
      </c>
      <c r="E41" s="1">
        <v>2671.3685999999998</v>
      </c>
      <c r="F41" s="1">
        <f t="shared" si="3"/>
        <v>1336.18795</v>
      </c>
      <c r="G41" s="1">
        <f t="shared" si="1"/>
        <v>891.12773333333325</v>
      </c>
      <c r="H41" s="1">
        <f t="shared" si="0"/>
        <v>668.59762499999999</v>
      </c>
      <c r="I41" s="1">
        <v>-1</v>
      </c>
      <c r="J41" s="1">
        <v>-1</v>
      </c>
      <c r="K41" s="1">
        <v>0</v>
      </c>
      <c r="L41" s="1">
        <v>0</v>
      </c>
      <c r="M41" s="1">
        <v>-1</v>
      </c>
      <c r="N41" s="1" t="s">
        <v>30</v>
      </c>
      <c r="O41" s="1" t="s">
        <v>86</v>
      </c>
    </row>
    <row r="42" spans="1:15">
      <c r="A42" s="1" t="s">
        <v>106</v>
      </c>
      <c r="B42" s="1" t="s">
        <v>93</v>
      </c>
      <c r="C42" s="1" t="s">
        <v>107</v>
      </c>
      <c r="D42" s="1">
        <f t="shared" si="2"/>
        <v>2809.3978000000002</v>
      </c>
      <c r="E42" s="1">
        <v>2787.4159</v>
      </c>
      <c r="F42" s="1">
        <f t="shared" si="3"/>
        <v>1394.2116000000001</v>
      </c>
      <c r="G42" s="1">
        <f t="shared" si="1"/>
        <v>929.81016666666665</v>
      </c>
      <c r="H42" s="1">
        <f t="shared" si="0"/>
        <v>697.60945000000004</v>
      </c>
      <c r="I42" s="1">
        <v>-1</v>
      </c>
      <c r="J42" s="1">
        <v>-1</v>
      </c>
      <c r="K42" s="1">
        <v>0</v>
      </c>
      <c r="L42" s="1">
        <v>0</v>
      </c>
      <c r="M42" s="1">
        <v>-1</v>
      </c>
      <c r="N42" s="1" t="s">
        <v>30</v>
      </c>
    </row>
    <row r="43" spans="1:15">
      <c r="A43" s="1" t="s">
        <v>108</v>
      </c>
      <c r="B43" s="1" t="s">
        <v>109</v>
      </c>
      <c r="C43" s="1" t="s">
        <v>110</v>
      </c>
      <c r="D43" s="1">
        <f t="shared" si="2"/>
        <v>2809.3978000000002</v>
      </c>
      <c r="E43" s="1">
        <v>2787.4159</v>
      </c>
      <c r="F43" s="1">
        <f t="shared" si="3"/>
        <v>1394.2116000000001</v>
      </c>
      <c r="G43" s="1">
        <f t="shared" si="1"/>
        <v>929.81016666666665</v>
      </c>
      <c r="H43" s="1">
        <f t="shared" si="0"/>
        <v>697.60945000000004</v>
      </c>
      <c r="I43" s="1">
        <v>-1</v>
      </c>
      <c r="J43" s="1">
        <v>-1</v>
      </c>
      <c r="K43" s="1">
        <v>0</v>
      </c>
      <c r="L43" s="1">
        <v>0</v>
      </c>
      <c r="M43" s="1">
        <v>-1</v>
      </c>
      <c r="N43" s="1" t="s">
        <v>30</v>
      </c>
    </row>
    <row r="44" spans="1:15">
      <c r="A44" s="1">
        <v>52</v>
      </c>
      <c r="B44" s="1" t="s">
        <v>111</v>
      </c>
      <c r="C44" s="1" t="s">
        <v>112</v>
      </c>
      <c r="D44" s="1">
        <f t="shared" si="2"/>
        <v>2826.4132000000004</v>
      </c>
      <c r="E44" s="1">
        <v>2804.4313000000002</v>
      </c>
      <c r="F44" s="1">
        <f t="shared" si="3"/>
        <v>1402.7193000000002</v>
      </c>
      <c r="G44" s="1">
        <f t="shared" si="1"/>
        <v>935.48196666666672</v>
      </c>
      <c r="H44" s="1">
        <f t="shared" si="0"/>
        <v>701.86330000000009</v>
      </c>
      <c r="I44" s="1">
        <v>-1</v>
      </c>
      <c r="J44" s="1">
        <v>-1</v>
      </c>
      <c r="K44" s="1">
        <v>0</v>
      </c>
      <c r="L44" s="1">
        <v>0</v>
      </c>
      <c r="M44" s="1">
        <v>-1</v>
      </c>
      <c r="N44" s="1" t="s">
        <v>30</v>
      </c>
      <c r="O44" s="1" t="s">
        <v>113</v>
      </c>
    </row>
    <row r="45" spans="1:15">
      <c r="A45" s="1">
        <v>53</v>
      </c>
      <c r="B45" s="1" t="s">
        <v>114</v>
      </c>
      <c r="C45" s="1" t="s">
        <v>115</v>
      </c>
      <c r="D45" s="1">
        <f t="shared" si="2"/>
        <v>2850.4244000000003</v>
      </c>
      <c r="E45" s="1">
        <v>2828.4425000000001</v>
      </c>
      <c r="F45" s="1">
        <f t="shared" si="3"/>
        <v>1414.7249000000002</v>
      </c>
      <c r="G45" s="1">
        <f t="shared" si="1"/>
        <v>943.48570000000007</v>
      </c>
      <c r="H45" s="1">
        <f t="shared" si="0"/>
        <v>707.86610000000007</v>
      </c>
      <c r="I45" s="1">
        <v>-1</v>
      </c>
      <c r="J45" s="1">
        <v>-1</v>
      </c>
      <c r="K45" s="1">
        <v>0</v>
      </c>
      <c r="L45" s="1">
        <v>0</v>
      </c>
      <c r="M45" s="1">
        <v>-1</v>
      </c>
      <c r="N45" s="1" t="s">
        <v>30</v>
      </c>
    </row>
    <row r="46" spans="1:15">
      <c r="A46" s="1" t="s">
        <v>116</v>
      </c>
      <c r="C46" s="1" t="s">
        <v>117</v>
      </c>
      <c r="D46" s="1">
        <f t="shared" si="2"/>
        <v>2850.4244000000003</v>
      </c>
      <c r="E46" s="1">
        <v>2828.4425000000001</v>
      </c>
      <c r="F46" s="1">
        <f t="shared" si="3"/>
        <v>1414.7249000000002</v>
      </c>
      <c r="G46" s="1">
        <f t="shared" si="1"/>
        <v>943.48570000000007</v>
      </c>
      <c r="H46" s="1">
        <f t="shared" si="0"/>
        <v>707.86610000000007</v>
      </c>
      <c r="I46" s="1">
        <v>-1</v>
      </c>
      <c r="J46" s="1">
        <v>-1</v>
      </c>
      <c r="K46" s="1">
        <v>0</v>
      </c>
      <c r="L46" s="1">
        <v>5</v>
      </c>
      <c r="M46" s="1">
        <v>-1</v>
      </c>
      <c r="N46" s="1" t="s">
        <v>30</v>
      </c>
      <c r="O46" s="1" t="s">
        <v>118</v>
      </c>
    </row>
    <row r="47" spans="1:15">
      <c r="A47" s="1">
        <v>57</v>
      </c>
      <c r="B47" s="1" t="s">
        <v>111</v>
      </c>
      <c r="C47" s="1" t="s">
        <v>119</v>
      </c>
      <c r="D47" s="1">
        <f t="shared" si="2"/>
        <v>2867.4397000000004</v>
      </c>
      <c r="E47" s="1">
        <v>2845.4578000000001</v>
      </c>
      <c r="F47" s="1">
        <f t="shared" si="3"/>
        <v>1423.2325500000002</v>
      </c>
      <c r="G47" s="1">
        <f t="shared" si="1"/>
        <v>949.15746666666666</v>
      </c>
      <c r="H47" s="1">
        <f>(E47+1.0073*3)/4</f>
        <v>712.11992500000008</v>
      </c>
      <c r="I47" s="1">
        <v>-1</v>
      </c>
      <c r="J47" s="1">
        <v>-1</v>
      </c>
      <c r="K47" s="1">
        <v>1</v>
      </c>
      <c r="L47" s="1">
        <v>2</v>
      </c>
      <c r="M47" s="1">
        <v>-1</v>
      </c>
      <c r="N47" s="1" t="s">
        <v>30</v>
      </c>
      <c r="O47" s="1" t="s">
        <v>102</v>
      </c>
    </row>
    <row r="48" spans="1:15">
      <c r="A48" s="1">
        <v>60</v>
      </c>
      <c r="C48" s="1" t="s">
        <v>120</v>
      </c>
      <c r="D48" s="1">
        <f t="shared" si="2"/>
        <v>2966.4717000000001</v>
      </c>
      <c r="E48" s="1">
        <v>2944.4897999999998</v>
      </c>
      <c r="F48" s="1">
        <f t="shared" si="3"/>
        <v>1472.74855</v>
      </c>
      <c r="G48" s="1">
        <f t="shared" si="1"/>
        <v>982.16813333333323</v>
      </c>
      <c r="H48" s="1">
        <f t="shared" si="0"/>
        <v>736.877925</v>
      </c>
      <c r="I48" s="1">
        <v>-1</v>
      </c>
      <c r="J48" s="1">
        <v>-1</v>
      </c>
      <c r="K48" s="1">
        <v>0</v>
      </c>
      <c r="L48" s="1">
        <v>1</v>
      </c>
      <c r="M48" s="1">
        <v>-1</v>
      </c>
      <c r="N48" s="1" t="s">
        <v>30</v>
      </c>
      <c r="O48" s="1" t="s">
        <v>121</v>
      </c>
    </row>
    <row r="49" spans="1:15">
      <c r="A49" s="1">
        <v>61</v>
      </c>
      <c r="B49" s="1" t="s">
        <v>122</v>
      </c>
      <c r="C49" s="1" t="s">
        <v>123</v>
      </c>
      <c r="D49" s="1">
        <f t="shared" si="2"/>
        <v>2983.4871000000003</v>
      </c>
      <c r="E49" s="1">
        <v>2961.5052000000001</v>
      </c>
      <c r="F49" s="1">
        <f t="shared" si="3"/>
        <v>1481.2562500000001</v>
      </c>
      <c r="G49" s="1">
        <f t="shared" si="1"/>
        <v>987.83993333333331</v>
      </c>
      <c r="H49" s="1">
        <f t="shared" si="0"/>
        <v>741.13177500000006</v>
      </c>
      <c r="I49" s="1">
        <v>-1</v>
      </c>
      <c r="J49" s="1">
        <v>-1</v>
      </c>
      <c r="K49" s="1">
        <v>0</v>
      </c>
      <c r="L49" s="1">
        <v>0</v>
      </c>
      <c r="M49" s="1">
        <v>-1</v>
      </c>
      <c r="N49" s="1" t="s">
        <v>30</v>
      </c>
    </row>
    <row r="50" spans="1:15">
      <c r="A50" s="1" t="s">
        <v>124</v>
      </c>
      <c r="B50" s="1" t="s">
        <v>125</v>
      </c>
      <c r="C50" s="1" t="s">
        <v>126</v>
      </c>
      <c r="D50" s="1">
        <f t="shared" si="2"/>
        <v>2983.4871000000003</v>
      </c>
      <c r="E50" s="1">
        <v>2961.5052000000001</v>
      </c>
      <c r="F50" s="1">
        <f t="shared" si="3"/>
        <v>1481.2562500000001</v>
      </c>
      <c r="G50" s="1">
        <f t="shared" si="1"/>
        <v>987.83993333333331</v>
      </c>
      <c r="H50" s="1">
        <f t="shared" si="0"/>
        <v>741.13177500000006</v>
      </c>
      <c r="I50" s="1">
        <v>-1</v>
      </c>
      <c r="J50" s="1">
        <v>-1</v>
      </c>
      <c r="K50" s="1">
        <v>0</v>
      </c>
      <c r="L50" s="1">
        <v>0</v>
      </c>
      <c r="M50" s="1">
        <v>-1</v>
      </c>
      <c r="N50" s="1" t="s">
        <v>30</v>
      </c>
    </row>
    <row r="51" spans="1:15">
      <c r="A51" s="1">
        <v>65</v>
      </c>
      <c r="C51" s="1" t="s">
        <v>127</v>
      </c>
      <c r="D51" s="1">
        <f t="shared" si="2"/>
        <v>2996.4823000000001</v>
      </c>
      <c r="E51" s="1">
        <v>2974.5003999999999</v>
      </c>
      <c r="F51" s="1">
        <f t="shared" si="3"/>
        <v>1487.7538500000001</v>
      </c>
      <c r="G51" s="1">
        <f t="shared" si="1"/>
        <v>992.17166666666662</v>
      </c>
      <c r="H51" s="1">
        <f t="shared" si="0"/>
        <v>744.38057500000002</v>
      </c>
      <c r="I51" s="1">
        <v>-1</v>
      </c>
      <c r="J51" s="1">
        <v>-1</v>
      </c>
      <c r="K51" s="1">
        <v>0</v>
      </c>
      <c r="L51" s="1">
        <v>0</v>
      </c>
      <c r="M51" s="1">
        <v>-1</v>
      </c>
      <c r="N51" s="1" t="s">
        <v>30</v>
      </c>
    </row>
    <row r="52" spans="1:15">
      <c r="A52" s="1">
        <v>66</v>
      </c>
      <c r="C52" s="1" t="s">
        <v>128</v>
      </c>
      <c r="D52" s="1">
        <f t="shared" si="2"/>
        <v>3000.5024000000003</v>
      </c>
      <c r="E52" s="1">
        <v>2978.5205000000001</v>
      </c>
      <c r="F52" s="1">
        <f t="shared" si="3"/>
        <v>1489.7639000000001</v>
      </c>
      <c r="G52" s="1">
        <f t="shared" si="1"/>
        <v>993.51170000000002</v>
      </c>
      <c r="H52" s="1">
        <f t="shared" si="0"/>
        <v>745.38560000000007</v>
      </c>
      <c r="I52" s="1">
        <v>-1</v>
      </c>
      <c r="J52" s="1">
        <v>-1</v>
      </c>
      <c r="K52" s="1">
        <v>0</v>
      </c>
      <c r="L52" s="1">
        <v>0</v>
      </c>
      <c r="M52" s="1">
        <v>-1</v>
      </c>
      <c r="N52" s="1" t="s">
        <v>30</v>
      </c>
    </row>
    <row r="53" spans="1:15">
      <c r="A53" s="1" t="s">
        <v>129</v>
      </c>
      <c r="B53" s="1" t="s">
        <v>109</v>
      </c>
      <c r="C53" s="1" t="s">
        <v>130</v>
      </c>
      <c r="D53" s="1">
        <f t="shared" si="2"/>
        <v>3013.4976000000001</v>
      </c>
      <c r="E53" s="1">
        <v>2991.5156999999999</v>
      </c>
      <c r="F53" s="1">
        <f t="shared" si="3"/>
        <v>1496.2615000000001</v>
      </c>
      <c r="G53" s="1">
        <f t="shared" si="1"/>
        <v>997.84343333333334</v>
      </c>
      <c r="H53" s="1">
        <f t="shared" si="0"/>
        <v>748.63440000000003</v>
      </c>
      <c r="I53" s="1">
        <v>-1</v>
      </c>
      <c r="J53" s="1">
        <v>-1</v>
      </c>
      <c r="K53" s="1">
        <v>0</v>
      </c>
      <c r="L53" s="1">
        <v>0</v>
      </c>
      <c r="M53" s="1">
        <v>-1</v>
      </c>
      <c r="N53" s="1" t="s">
        <v>30</v>
      </c>
      <c r="O53" s="1" t="s">
        <v>131</v>
      </c>
    </row>
    <row r="54" spans="1:15">
      <c r="C54" s="1" t="s">
        <v>132</v>
      </c>
      <c r="D54" s="1">
        <f t="shared" si="2"/>
        <v>3013.4976000000001</v>
      </c>
      <c r="E54" s="1">
        <v>2991.5156999999999</v>
      </c>
      <c r="F54" s="1">
        <f t="shared" si="3"/>
        <v>1496.2615000000001</v>
      </c>
      <c r="G54" s="1">
        <f t="shared" si="1"/>
        <v>997.84343333333334</v>
      </c>
      <c r="H54" s="1">
        <f t="shared" si="0"/>
        <v>748.63440000000003</v>
      </c>
      <c r="I54" s="1">
        <v>-1</v>
      </c>
      <c r="J54" s="1">
        <v>-1</v>
      </c>
      <c r="K54" s="1">
        <v>1</v>
      </c>
      <c r="L54" s="1">
        <v>0</v>
      </c>
      <c r="M54" s="1">
        <v>-1</v>
      </c>
      <c r="N54" s="1" t="s">
        <v>33</v>
      </c>
      <c r="O54" s="1" t="s">
        <v>102</v>
      </c>
    </row>
    <row r="55" spans="1:15">
      <c r="A55" s="1" t="s">
        <v>133</v>
      </c>
      <c r="B55" s="1" t="s">
        <v>125</v>
      </c>
      <c r="C55" s="1" t="s">
        <v>134</v>
      </c>
      <c r="D55" s="1">
        <f t="shared" si="2"/>
        <v>3054.5242000000003</v>
      </c>
      <c r="E55" s="1">
        <v>3032.5423000000001</v>
      </c>
      <c r="F55" s="1">
        <f t="shared" si="3"/>
        <v>1516.7748000000001</v>
      </c>
      <c r="G55" s="1">
        <f t="shared" si="1"/>
        <v>1011.5189666666666</v>
      </c>
      <c r="H55" s="1">
        <f t="shared" si="0"/>
        <v>758.89105000000006</v>
      </c>
      <c r="I55" s="1">
        <v>-1</v>
      </c>
      <c r="J55" s="1">
        <v>-1</v>
      </c>
      <c r="K55" s="1">
        <v>0</v>
      </c>
      <c r="L55" s="1">
        <v>0</v>
      </c>
      <c r="M55" s="1">
        <v>-1</v>
      </c>
      <c r="N55" s="1" t="s">
        <v>30</v>
      </c>
    </row>
    <row r="56" spans="1:15">
      <c r="C56" s="1" t="s">
        <v>135</v>
      </c>
      <c r="D56" s="1">
        <f t="shared" si="2"/>
        <v>3054.5242000000003</v>
      </c>
      <c r="E56" s="1">
        <v>3032.5423000000001</v>
      </c>
      <c r="F56" s="1">
        <f t="shared" si="3"/>
        <v>1516.7748000000001</v>
      </c>
      <c r="G56" s="1">
        <f t="shared" si="1"/>
        <v>1011.5189666666666</v>
      </c>
      <c r="H56" s="1">
        <f t="shared" si="0"/>
        <v>758.89105000000006</v>
      </c>
      <c r="I56" s="1">
        <v>-1</v>
      </c>
      <c r="J56" s="1">
        <v>-1</v>
      </c>
      <c r="K56" s="1">
        <v>0</v>
      </c>
      <c r="L56" s="1">
        <v>0</v>
      </c>
      <c r="M56" s="1">
        <v>-1</v>
      </c>
      <c r="N56" s="1" t="s">
        <v>33</v>
      </c>
      <c r="O56" s="1" t="s">
        <v>102</v>
      </c>
    </row>
    <row r="57" spans="1:15">
      <c r="A57" s="1" t="s">
        <v>136</v>
      </c>
      <c r="B57" s="1" t="s">
        <v>137</v>
      </c>
      <c r="C57" s="1" t="s">
        <v>138</v>
      </c>
      <c r="D57" s="1">
        <f t="shared" si="2"/>
        <v>3071.5395000000003</v>
      </c>
      <c r="E57" s="1">
        <v>3049.5576000000001</v>
      </c>
      <c r="F57" s="1">
        <f t="shared" si="3"/>
        <v>1525.2824500000002</v>
      </c>
      <c r="G57" s="1">
        <f t="shared" si="1"/>
        <v>1017.1907333333334</v>
      </c>
      <c r="H57" s="1">
        <f t="shared" si="0"/>
        <v>763.14487500000007</v>
      </c>
      <c r="I57" s="1">
        <v>-1</v>
      </c>
      <c r="J57" s="1">
        <v>-1</v>
      </c>
      <c r="K57" s="1">
        <v>0</v>
      </c>
      <c r="L57" s="1">
        <v>1</v>
      </c>
      <c r="M57" s="1">
        <v>-1</v>
      </c>
      <c r="N57" s="1" t="s">
        <v>30</v>
      </c>
      <c r="O57" s="1" t="s">
        <v>102</v>
      </c>
    </row>
    <row r="58" spans="1:15">
      <c r="A58" s="1">
        <v>74</v>
      </c>
      <c r="B58" s="1" t="s">
        <v>122</v>
      </c>
      <c r="C58" s="1" t="s">
        <v>139</v>
      </c>
      <c r="D58" s="1">
        <f t="shared" si="2"/>
        <v>3129.5450000000001</v>
      </c>
      <c r="E58" s="1">
        <v>3107.5630999999998</v>
      </c>
      <c r="F58" s="1">
        <f t="shared" si="3"/>
        <v>1554.2852</v>
      </c>
      <c r="G58" s="1">
        <f t="shared" si="1"/>
        <v>1036.5258999999999</v>
      </c>
      <c r="H58" s="1">
        <f t="shared" si="0"/>
        <v>777.64625000000001</v>
      </c>
      <c r="I58" s="1">
        <v>-1</v>
      </c>
      <c r="J58" s="1">
        <v>-1</v>
      </c>
      <c r="K58" s="1">
        <v>0</v>
      </c>
      <c r="L58" s="1">
        <v>0</v>
      </c>
      <c r="M58" s="1">
        <v>-1</v>
      </c>
      <c r="N58" s="1" t="s">
        <v>30</v>
      </c>
    </row>
    <row r="59" spans="1:15">
      <c r="A59" s="1" t="s">
        <v>140</v>
      </c>
      <c r="B59" s="1" t="s">
        <v>125</v>
      </c>
      <c r="C59" s="1" t="s">
        <v>141</v>
      </c>
      <c r="D59" s="1">
        <f t="shared" si="2"/>
        <v>3170.5715</v>
      </c>
      <c r="E59" s="1">
        <v>3148.5895999999998</v>
      </c>
      <c r="F59" s="1">
        <f t="shared" si="3"/>
        <v>1574.79845</v>
      </c>
      <c r="G59" s="1">
        <f t="shared" si="1"/>
        <v>1050.2013999999999</v>
      </c>
      <c r="H59" s="1">
        <f t="shared" si="0"/>
        <v>787.90287499999999</v>
      </c>
      <c r="I59" s="1">
        <v>-1</v>
      </c>
      <c r="J59" s="1">
        <v>-1</v>
      </c>
      <c r="K59" s="1">
        <v>0</v>
      </c>
      <c r="L59" s="1">
        <v>0</v>
      </c>
      <c r="M59" s="1">
        <v>-1</v>
      </c>
      <c r="N59" s="1" t="s">
        <v>30</v>
      </c>
      <c r="O59" s="1" t="s">
        <v>142</v>
      </c>
    </row>
    <row r="60" spans="1:15">
      <c r="C60" s="1" t="s">
        <v>143</v>
      </c>
      <c r="D60" s="1">
        <f t="shared" si="2"/>
        <v>3170.5715</v>
      </c>
      <c r="E60" s="1">
        <v>3148.5895999999998</v>
      </c>
      <c r="F60" s="1">
        <f t="shared" si="3"/>
        <v>1574.79845</v>
      </c>
      <c r="G60" s="1">
        <f t="shared" si="1"/>
        <v>1050.2013999999999</v>
      </c>
      <c r="H60" s="1">
        <f t="shared" si="0"/>
        <v>787.90287499999999</v>
      </c>
      <c r="I60" s="1">
        <v>-1</v>
      </c>
      <c r="J60" s="1">
        <v>-1</v>
      </c>
      <c r="K60" s="1">
        <v>0</v>
      </c>
      <c r="L60" s="1">
        <v>2</v>
      </c>
      <c r="M60" s="1">
        <v>-1</v>
      </c>
      <c r="N60" s="1" t="s">
        <v>33</v>
      </c>
      <c r="O60" s="1" t="s">
        <v>102</v>
      </c>
    </row>
    <row r="61" spans="1:15">
      <c r="A61" s="1">
        <v>78</v>
      </c>
      <c r="B61" s="1" t="s">
        <v>109</v>
      </c>
      <c r="C61" s="1" t="s">
        <v>144</v>
      </c>
      <c r="D61" s="1">
        <f t="shared" si="2"/>
        <v>3187.5868</v>
      </c>
      <c r="E61" s="1">
        <v>3165.6048999999998</v>
      </c>
      <c r="F61" s="1">
        <f t="shared" si="3"/>
        <v>1583.3061</v>
      </c>
      <c r="G61" s="1">
        <f t="shared" si="1"/>
        <v>1055.8731666666665</v>
      </c>
      <c r="H61" s="1">
        <f t="shared" si="0"/>
        <v>792.1567</v>
      </c>
      <c r="I61" s="1">
        <v>-1</v>
      </c>
      <c r="J61" s="1">
        <v>-1</v>
      </c>
      <c r="K61" s="1">
        <v>0</v>
      </c>
      <c r="L61" s="1">
        <v>0</v>
      </c>
      <c r="M61" s="1">
        <v>-1</v>
      </c>
      <c r="N61" s="1" t="s">
        <v>30</v>
      </c>
    </row>
    <row r="62" spans="1:15">
      <c r="C62" s="1" t="s">
        <v>126</v>
      </c>
      <c r="D62" s="1">
        <f t="shared" si="2"/>
        <v>3187.5868</v>
      </c>
      <c r="E62" s="1">
        <v>3165.6048999999998</v>
      </c>
      <c r="F62" s="1">
        <f t="shared" si="3"/>
        <v>1583.3061</v>
      </c>
      <c r="G62" s="1">
        <f t="shared" si="1"/>
        <v>1055.8731666666665</v>
      </c>
      <c r="H62" s="1">
        <f t="shared" si="0"/>
        <v>792.1567</v>
      </c>
      <c r="I62" s="1">
        <v>-1</v>
      </c>
      <c r="J62" s="1">
        <v>-1</v>
      </c>
      <c r="K62" s="1">
        <v>0</v>
      </c>
      <c r="L62" s="1">
        <v>6</v>
      </c>
      <c r="M62" s="1">
        <v>-1</v>
      </c>
      <c r="N62" s="1" t="s">
        <v>33</v>
      </c>
    </row>
    <row r="63" spans="1:15">
      <c r="A63" s="1" t="s">
        <v>145</v>
      </c>
      <c r="B63" s="1" t="s">
        <v>146</v>
      </c>
      <c r="C63" s="1" t="s">
        <v>147</v>
      </c>
      <c r="D63" s="1">
        <f t="shared" si="2"/>
        <v>3200.5821000000001</v>
      </c>
      <c r="E63" s="1">
        <v>3178.6001999999999</v>
      </c>
      <c r="F63" s="1">
        <f t="shared" si="3"/>
        <v>1589.80375</v>
      </c>
      <c r="G63" s="1">
        <f t="shared" si="1"/>
        <v>1060.2049333333332</v>
      </c>
      <c r="H63" s="1">
        <f t="shared" si="0"/>
        <v>795.40552500000001</v>
      </c>
      <c r="I63" s="1">
        <v>-1</v>
      </c>
      <c r="J63" s="1">
        <v>-1</v>
      </c>
      <c r="K63" s="1">
        <v>0</v>
      </c>
      <c r="L63" s="1">
        <v>0</v>
      </c>
      <c r="M63" s="1">
        <v>-1</v>
      </c>
      <c r="N63" s="1" t="s">
        <v>30</v>
      </c>
      <c r="O63" s="1" t="s">
        <v>148</v>
      </c>
    </row>
    <row r="64" spans="1:15">
      <c r="A64" s="1">
        <v>86</v>
      </c>
      <c r="B64" s="1" t="s">
        <v>125</v>
      </c>
      <c r="C64" s="1" t="s">
        <v>149</v>
      </c>
      <c r="D64" s="1">
        <f t="shared" si="2"/>
        <v>3361.6760000000004</v>
      </c>
      <c r="E64" s="1">
        <v>3339.6941000000002</v>
      </c>
      <c r="F64" s="1">
        <f t="shared" si="3"/>
        <v>1670.3507000000002</v>
      </c>
      <c r="G64" s="1">
        <f t="shared" si="1"/>
        <v>1113.9029</v>
      </c>
      <c r="H64" s="1">
        <f t="shared" si="0"/>
        <v>835.67900000000009</v>
      </c>
      <c r="I64" s="1">
        <v>-1</v>
      </c>
      <c r="J64" s="1">
        <v>-1</v>
      </c>
      <c r="K64" s="1">
        <v>0</v>
      </c>
      <c r="L64" s="1">
        <v>1</v>
      </c>
      <c r="M64" s="1">
        <v>-1</v>
      </c>
      <c r="N64" s="1" t="s">
        <v>30</v>
      </c>
    </row>
    <row r="65" spans="1:15">
      <c r="A65" s="1" t="s">
        <v>150</v>
      </c>
      <c r="B65" s="1" t="s">
        <v>125</v>
      </c>
      <c r="C65" s="1" t="s">
        <v>151</v>
      </c>
      <c r="D65" s="1">
        <f t="shared" si="2"/>
        <v>3374.6713000000004</v>
      </c>
      <c r="E65" s="1">
        <v>3352.6894000000002</v>
      </c>
      <c r="F65" s="1">
        <f t="shared" si="3"/>
        <v>1676.8483500000002</v>
      </c>
      <c r="G65" s="1">
        <f t="shared" si="1"/>
        <v>1118.2346666666667</v>
      </c>
      <c r="H65" s="1">
        <f t="shared" si="0"/>
        <v>838.9278250000001</v>
      </c>
      <c r="I65" s="1">
        <v>-1</v>
      </c>
      <c r="J65" s="1">
        <v>-1</v>
      </c>
      <c r="K65" s="1">
        <v>0</v>
      </c>
      <c r="L65" s="1">
        <v>0</v>
      </c>
      <c r="M65" s="1">
        <v>-1</v>
      </c>
      <c r="N65" s="1" t="s">
        <v>30</v>
      </c>
    </row>
    <row r="66" spans="1:15">
      <c r="A66" s="1">
        <v>92</v>
      </c>
      <c r="C66" s="1" t="s">
        <v>152</v>
      </c>
      <c r="D66" s="1">
        <f t="shared" si="2"/>
        <v>3722.8497000000002</v>
      </c>
      <c r="E66" s="1">
        <v>3700.8678</v>
      </c>
      <c r="F66" s="1">
        <f t="shared" si="3"/>
        <v>1850.9375500000001</v>
      </c>
      <c r="G66" s="1">
        <f t="shared" si="1"/>
        <v>1234.2941333333333</v>
      </c>
      <c r="H66" s="1">
        <f t="shared" si="0"/>
        <v>925.97242500000004</v>
      </c>
      <c r="I66" s="1">
        <v>-1</v>
      </c>
      <c r="J66" s="1">
        <v>-1</v>
      </c>
      <c r="K66" s="1">
        <v>0</v>
      </c>
      <c r="L66" s="1">
        <v>0</v>
      </c>
      <c r="M66" s="1">
        <v>-1</v>
      </c>
      <c r="N66" s="1" t="s">
        <v>30</v>
      </c>
    </row>
    <row r="67" spans="1:15">
      <c r="A67" s="1">
        <v>93</v>
      </c>
      <c r="B67" s="1" t="s">
        <v>67</v>
      </c>
      <c r="C67" s="1" t="s">
        <v>153</v>
      </c>
      <c r="D67" s="1">
        <f t="shared" si="2"/>
        <v>4359.1602999999996</v>
      </c>
      <c r="E67" s="1">
        <v>4337.1783999999998</v>
      </c>
      <c r="F67" s="1">
        <f t="shared" si="3"/>
        <v>2169.09285</v>
      </c>
      <c r="G67" s="1">
        <f t="shared" ref="G67:G70" si="4">(E67+1.0073*2)/3</f>
        <v>1446.3976666666667</v>
      </c>
      <c r="H67" s="1">
        <f t="shared" si="0"/>
        <v>1085.0500749999999</v>
      </c>
      <c r="I67" s="1">
        <v>-1</v>
      </c>
      <c r="J67" s="1">
        <v>-1</v>
      </c>
      <c r="K67" s="1">
        <v>-1</v>
      </c>
      <c r="L67" s="1">
        <v>0</v>
      </c>
      <c r="M67" s="1">
        <v>0</v>
      </c>
      <c r="N67" s="1" t="s">
        <v>30</v>
      </c>
    </row>
    <row r="68" spans="1:15">
      <c r="A68" s="1">
        <v>94</v>
      </c>
      <c r="B68" s="1" t="s">
        <v>154</v>
      </c>
      <c r="C68" s="1" t="s">
        <v>155</v>
      </c>
      <c r="D68" s="1">
        <f t="shared" ref="D68:D71" si="5">E68+21.9819</f>
        <v>4737.3491999999997</v>
      </c>
      <c r="E68" s="1">
        <v>4715.3672999999999</v>
      </c>
      <c r="F68" s="1">
        <f t="shared" ref="F68:F71" si="6">(E68+1.0073)/2</f>
        <v>2358.1873000000001</v>
      </c>
      <c r="G68" s="1">
        <f t="shared" si="4"/>
        <v>1572.4606333333334</v>
      </c>
      <c r="H68" s="1">
        <f t="shared" si="0"/>
        <v>1179.5972999999999</v>
      </c>
      <c r="I68" s="1">
        <v>-1</v>
      </c>
      <c r="J68" s="1">
        <v>-1</v>
      </c>
      <c r="K68" s="1">
        <v>-1</v>
      </c>
      <c r="L68" s="1">
        <v>1</v>
      </c>
      <c r="M68" s="1">
        <v>0</v>
      </c>
      <c r="N68" s="1" t="s">
        <v>30</v>
      </c>
    </row>
    <row r="69" spans="1:15">
      <c r="A69" s="1">
        <v>95</v>
      </c>
      <c r="B69" s="1" t="s">
        <v>156</v>
      </c>
      <c r="C69" s="1" t="s">
        <v>157</v>
      </c>
      <c r="D69" s="1">
        <f t="shared" si="5"/>
        <v>4739.3648999999996</v>
      </c>
      <c r="E69" s="1">
        <v>4717.3829999999998</v>
      </c>
      <c r="F69" s="1">
        <f t="shared" si="6"/>
        <v>2359.19515</v>
      </c>
      <c r="G69" s="1">
        <f t="shared" si="4"/>
        <v>1573.1325333333334</v>
      </c>
      <c r="H69" s="1">
        <f t="shared" si="0"/>
        <v>1180.1012249999999</v>
      </c>
      <c r="I69" s="1">
        <v>-1</v>
      </c>
      <c r="J69" s="1">
        <v>-1</v>
      </c>
      <c r="K69" s="1">
        <v>-1</v>
      </c>
      <c r="L69" s="1">
        <v>0</v>
      </c>
      <c r="M69" s="1">
        <v>0</v>
      </c>
      <c r="N69" s="1" t="s">
        <v>30</v>
      </c>
      <c r="O69" s="1" t="s">
        <v>158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6565-BCFF-7D47-B824-3F251D5A4696}">
  <dimension ref="A1:D17"/>
  <sheetViews>
    <sheetView workbookViewId="0">
      <selection activeCell="B12" sqref="B12:B13"/>
    </sheetView>
  </sheetViews>
  <sheetFormatPr baseColWidth="10" defaultRowHeight="20"/>
  <sheetData>
    <row r="1" spans="1:4">
      <c r="A1" t="s">
        <v>159</v>
      </c>
      <c r="B1" t="s">
        <v>160</v>
      </c>
      <c r="C1" t="s">
        <v>161</v>
      </c>
      <c r="D1" t="s">
        <v>162</v>
      </c>
    </row>
    <row r="2" spans="1:4">
      <c r="A2" t="s">
        <v>163</v>
      </c>
      <c r="B2">
        <v>14976</v>
      </c>
      <c r="C2">
        <v>1</v>
      </c>
      <c r="D2">
        <v>0</v>
      </c>
    </row>
    <row r="3" spans="1:4">
      <c r="A3" t="s">
        <v>163</v>
      </c>
      <c r="B3">
        <v>15159</v>
      </c>
      <c r="C3">
        <v>1</v>
      </c>
      <c r="D3">
        <v>0</v>
      </c>
    </row>
    <row r="4" spans="1:4">
      <c r="A4" t="s">
        <v>163</v>
      </c>
      <c r="B4">
        <v>15313</v>
      </c>
      <c r="C4">
        <v>1</v>
      </c>
      <c r="D4">
        <v>0</v>
      </c>
    </row>
    <row r="5" spans="1:4">
      <c r="A5" t="s">
        <v>163</v>
      </c>
      <c r="B5">
        <v>15502</v>
      </c>
      <c r="C5">
        <v>2</v>
      </c>
      <c r="D5">
        <v>0</v>
      </c>
    </row>
    <row r="6" spans="1:4">
      <c r="A6" t="s">
        <v>163</v>
      </c>
      <c r="B6">
        <v>15657</v>
      </c>
      <c r="C6">
        <v>2</v>
      </c>
      <c r="D6">
        <v>0</v>
      </c>
    </row>
    <row r="7" spans="1:4">
      <c r="A7" t="s">
        <v>163</v>
      </c>
      <c r="B7">
        <v>16590</v>
      </c>
      <c r="C7">
        <v>3</v>
      </c>
      <c r="D7">
        <v>0</v>
      </c>
    </row>
    <row r="8" spans="1:4">
      <c r="A8" t="s">
        <v>163</v>
      </c>
      <c r="B8">
        <v>16652</v>
      </c>
      <c r="C8">
        <v>3</v>
      </c>
      <c r="D8">
        <v>0</v>
      </c>
    </row>
    <row r="9" spans="1:4">
      <c r="A9" t="s">
        <v>163</v>
      </c>
      <c r="B9">
        <v>16853</v>
      </c>
      <c r="C9">
        <v>4</v>
      </c>
      <c r="D9">
        <v>0</v>
      </c>
    </row>
    <row r="10" spans="1:4">
      <c r="A10" t="s">
        <v>163</v>
      </c>
      <c r="B10">
        <v>17040</v>
      </c>
      <c r="C10">
        <v>4</v>
      </c>
      <c r="D10">
        <v>0</v>
      </c>
    </row>
    <row r="11" spans="1:4">
      <c r="A11" t="s">
        <v>163</v>
      </c>
      <c r="B11">
        <v>17234</v>
      </c>
      <c r="C11">
        <v>4</v>
      </c>
      <c r="D11">
        <v>0</v>
      </c>
    </row>
    <row r="12" spans="1:4">
      <c r="A12" t="s">
        <v>164</v>
      </c>
      <c r="B12">
        <v>18306</v>
      </c>
      <c r="C12">
        <v>1</v>
      </c>
      <c r="D12">
        <v>0</v>
      </c>
    </row>
    <row r="13" spans="1:4">
      <c r="A13" t="s">
        <v>164</v>
      </c>
      <c r="B13">
        <v>18502</v>
      </c>
      <c r="C13">
        <v>1</v>
      </c>
      <c r="D13">
        <v>0</v>
      </c>
    </row>
    <row r="14" spans="1:4">
      <c r="A14" t="s">
        <v>164</v>
      </c>
      <c r="B14">
        <v>18747</v>
      </c>
      <c r="C14">
        <v>2</v>
      </c>
      <c r="D14">
        <v>0</v>
      </c>
    </row>
    <row r="15" spans="1:4">
      <c r="A15" t="s">
        <v>164</v>
      </c>
      <c r="B15">
        <v>20034</v>
      </c>
      <c r="C15">
        <v>3</v>
      </c>
      <c r="D15">
        <v>0</v>
      </c>
    </row>
    <row r="16" spans="1:4">
      <c r="A16" t="s">
        <v>164</v>
      </c>
      <c r="B16">
        <v>21911</v>
      </c>
      <c r="C16">
        <v>4</v>
      </c>
      <c r="D16">
        <v>0</v>
      </c>
    </row>
    <row r="17" spans="1:4">
      <c r="A17" t="s">
        <v>164</v>
      </c>
      <c r="B17">
        <v>22141</v>
      </c>
      <c r="C17">
        <v>4</v>
      </c>
      <c r="D17"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Glycanlist_from_ovary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　煥權</dc:creator>
  <cp:lastModifiedBy>曾　煥權</cp:lastModifiedBy>
  <dcterms:created xsi:type="dcterms:W3CDTF">2023-12-14T03:35:24Z</dcterms:created>
  <dcterms:modified xsi:type="dcterms:W3CDTF">2023-12-14T05:20:13Z</dcterms:modified>
</cp:coreProperties>
</file>