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160CBAE9-1E09-460F-AC76-4AD38DC9B791}" xr6:coauthVersionLast="47" xr6:coauthVersionMax="47" xr10:uidLastSave="{00000000-0000-0000-0000-000000000000}"/>
  <bookViews>
    <workbookView xWindow="-120" yWindow="-120" windowWidth="29040" windowHeight="15840" activeTab="1" xr2:uid="{CFD31651-57D7-40EF-BE95-C7417EC3B9A0}"/>
  </bookViews>
  <sheets>
    <sheet name="Glycanlist" sheetId="2" r:id="rId1"/>
    <sheet name="MSlist" sheetId="6" r:id="rId2"/>
    <sheet name="ionlist" sheetId="4" r:id="rId3"/>
    <sheet name="information_sheet" sheetId="5" r:id="rId4"/>
    <sheet name="readme" sheetId="8" r:id="rId5"/>
    <sheet name="Pivot_MSlist" sheetId="7" r:id="rId6"/>
    <sheet name="conversion_log" sheetId="3" r:id="rId7"/>
    <sheet name="MS2_ref (DEMO)" sheetId="9" r:id="rId8"/>
    <sheet name="MAS_MLref (DEMO)" sheetId="10" r:id="rId9"/>
    <sheet name="工作表1" sheetId="11" r:id="rId10"/>
  </sheets>
  <definedNames>
    <definedName name="_xlnm._FilterDatabase" localSheetId="0" hidden="1">Glycanlist!$A$1:$T$1</definedName>
    <definedName name="_xlnm._FilterDatabase" localSheetId="2" hidden="1">ionlist!$A$1:$I$1</definedName>
    <definedName name="_xlnm._FilterDatabase" localSheetId="1" hidden="1">MSlist!$A$1:$K$1</definedName>
  </definedNames>
  <calcPr calcId="191029"/>
  <pivotCaches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H48" i="2"/>
  <c r="G48" i="2"/>
  <c r="E48" i="2"/>
  <c r="I21" i="2"/>
  <c r="H21" i="2"/>
  <c r="G21" i="2"/>
  <c r="E21" i="2"/>
  <c r="I70" i="2"/>
  <c r="H70" i="2"/>
  <c r="G70" i="2"/>
  <c r="E70" i="2"/>
  <c r="I69" i="2"/>
  <c r="H69" i="2"/>
  <c r="G69" i="2"/>
  <c r="E69" i="2"/>
  <c r="I68" i="2"/>
  <c r="H68" i="2"/>
  <c r="G68" i="2"/>
  <c r="E68" i="2"/>
  <c r="I67" i="2"/>
  <c r="H67" i="2"/>
  <c r="G67" i="2"/>
  <c r="E67" i="2"/>
  <c r="I63" i="2"/>
  <c r="H63" i="2"/>
  <c r="G63" i="2"/>
  <c r="E63" i="2"/>
  <c r="I62" i="2"/>
  <c r="H62" i="2"/>
  <c r="G62" i="2"/>
  <c r="E62" i="2"/>
  <c r="I58" i="2"/>
  <c r="H58" i="2"/>
  <c r="G58" i="2"/>
  <c r="E58" i="2"/>
  <c r="I57" i="2"/>
  <c r="H57" i="2"/>
  <c r="G57" i="2"/>
  <c r="E57" i="2"/>
  <c r="I55" i="2"/>
  <c r="H55" i="2"/>
  <c r="G55" i="2"/>
  <c r="E55" i="2"/>
  <c r="I54" i="2"/>
  <c r="H54" i="2"/>
  <c r="G54" i="2"/>
  <c r="E54" i="2"/>
  <c r="I53" i="2"/>
  <c r="H53" i="2"/>
  <c r="G53" i="2"/>
  <c r="E53" i="2"/>
  <c r="I52" i="2"/>
  <c r="H52" i="2"/>
  <c r="G52" i="2"/>
  <c r="E52" i="2"/>
  <c r="I51" i="2"/>
  <c r="H51" i="2"/>
  <c r="G51" i="2"/>
  <c r="E51" i="2"/>
  <c r="I50" i="2"/>
  <c r="H50" i="2"/>
  <c r="G50" i="2"/>
  <c r="E50" i="2"/>
  <c r="I49" i="2"/>
  <c r="H49" i="2"/>
  <c r="G49" i="2"/>
  <c r="E49" i="2"/>
  <c r="I47" i="2"/>
  <c r="H47" i="2"/>
  <c r="G47" i="2"/>
  <c r="E47" i="2"/>
  <c r="I46" i="2"/>
  <c r="H46" i="2"/>
  <c r="G46" i="2"/>
  <c r="E46" i="2"/>
  <c r="I45" i="2"/>
  <c r="H45" i="2"/>
  <c r="G45" i="2"/>
  <c r="E45" i="2"/>
  <c r="I44" i="2"/>
  <c r="H44" i="2"/>
  <c r="G44" i="2"/>
  <c r="E44" i="2"/>
  <c r="I43" i="2"/>
  <c r="H43" i="2"/>
  <c r="G43" i="2"/>
  <c r="E43" i="2"/>
  <c r="I42" i="2"/>
  <c r="H42" i="2"/>
  <c r="G42" i="2"/>
  <c r="E42" i="2"/>
  <c r="I38" i="2"/>
  <c r="H38" i="2"/>
  <c r="G38" i="2"/>
  <c r="E38" i="2"/>
  <c r="I37" i="2"/>
  <c r="H37" i="2"/>
  <c r="G37" i="2"/>
  <c r="E37" i="2"/>
  <c r="I36" i="2"/>
  <c r="H36" i="2"/>
  <c r="G36" i="2"/>
  <c r="E36" i="2"/>
  <c r="I35" i="2"/>
  <c r="H35" i="2"/>
  <c r="G35" i="2"/>
  <c r="E35" i="2"/>
  <c r="I34" i="2"/>
  <c r="H34" i="2"/>
  <c r="G34" i="2"/>
  <c r="E34" i="2"/>
  <c r="I33" i="2"/>
  <c r="H33" i="2"/>
  <c r="G33" i="2"/>
  <c r="E33" i="2"/>
  <c r="I32" i="2"/>
  <c r="H32" i="2"/>
  <c r="G32" i="2"/>
  <c r="E32" i="2"/>
  <c r="I30" i="2"/>
  <c r="H30" i="2"/>
  <c r="G30" i="2"/>
  <c r="E30" i="2"/>
  <c r="I29" i="2"/>
  <c r="H29" i="2"/>
  <c r="G29" i="2"/>
  <c r="E29" i="2"/>
  <c r="I28" i="2"/>
  <c r="H28" i="2"/>
  <c r="G28" i="2"/>
  <c r="E28" i="2"/>
  <c r="I27" i="2"/>
  <c r="H27" i="2"/>
  <c r="G27" i="2"/>
  <c r="E27" i="2"/>
  <c r="I24" i="2"/>
  <c r="H24" i="2"/>
  <c r="G24" i="2"/>
  <c r="E24" i="2"/>
  <c r="I23" i="2"/>
  <c r="H23" i="2"/>
  <c r="G23" i="2"/>
  <c r="E23" i="2"/>
  <c r="I16" i="2"/>
  <c r="H16" i="2"/>
  <c r="G16" i="2"/>
  <c r="E16" i="2"/>
  <c r="I13" i="2"/>
  <c r="H13" i="2"/>
  <c r="G13" i="2"/>
  <c r="E13" i="2"/>
  <c r="I12" i="2"/>
  <c r="H12" i="2"/>
  <c r="G12" i="2"/>
  <c r="E12" i="2"/>
  <c r="I11" i="2"/>
  <c r="H11" i="2"/>
  <c r="G11" i="2"/>
  <c r="E11" i="2"/>
  <c r="I10" i="2"/>
  <c r="H10" i="2"/>
  <c r="G10" i="2"/>
  <c r="E10" i="2"/>
  <c r="I7" i="2"/>
  <c r="H7" i="2"/>
  <c r="G7" i="2"/>
  <c r="E7" i="2"/>
  <c r="I6" i="2"/>
  <c r="H6" i="2"/>
  <c r="G6" i="2"/>
  <c r="E6" i="2"/>
  <c r="I5" i="2"/>
  <c r="H5" i="2"/>
  <c r="G5" i="2"/>
  <c r="E5" i="2"/>
  <c r="I60" i="2"/>
  <c r="H60" i="2"/>
  <c r="G60" i="2"/>
  <c r="E60" i="2"/>
  <c r="I8" i="2"/>
  <c r="H8" i="2"/>
  <c r="G8" i="2"/>
  <c r="E8" i="2"/>
  <c r="I3" i="2"/>
  <c r="H3" i="2"/>
  <c r="G3" i="2"/>
  <c r="E3" i="2"/>
  <c r="I26" i="2"/>
  <c r="H26" i="2"/>
  <c r="G26" i="2"/>
  <c r="E26" i="2"/>
  <c r="I66" i="2"/>
  <c r="H66" i="2"/>
  <c r="G66" i="2"/>
  <c r="E66" i="2"/>
  <c r="I65" i="2"/>
  <c r="H65" i="2"/>
  <c r="G65" i="2"/>
  <c r="E65" i="2"/>
  <c r="I64" i="2"/>
  <c r="H64" i="2"/>
  <c r="G64" i="2"/>
  <c r="E64" i="2"/>
  <c r="I61" i="2"/>
  <c r="H61" i="2"/>
  <c r="G61" i="2"/>
  <c r="E61" i="2"/>
  <c r="I59" i="2"/>
  <c r="H59" i="2"/>
  <c r="G59" i="2"/>
  <c r="E59" i="2"/>
  <c r="I56" i="2"/>
  <c r="H56" i="2"/>
  <c r="G56" i="2"/>
  <c r="E56" i="2"/>
  <c r="I39" i="2"/>
  <c r="H39" i="2"/>
  <c r="G39" i="2"/>
  <c r="E39" i="2"/>
  <c r="I41" i="2"/>
  <c r="H41" i="2"/>
  <c r="G41" i="2"/>
  <c r="E41" i="2"/>
  <c r="I40" i="2"/>
  <c r="H40" i="2"/>
  <c r="G40" i="2"/>
  <c r="E40" i="2"/>
  <c r="I31" i="2"/>
  <c r="H31" i="2"/>
  <c r="G31" i="2"/>
  <c r="E31" i="2"/>
  <c r="I19" i="2"/>
  <c r="H19" i="2"/>
  <c r="G19" i="2"/>
  <c r="E19" i="2"/>
  <c r="I18" i="2"/>
  <c r="H18" i="2"/>
  <c r="G18" i="2"/>
  <c r="E18" i="2"/>
  <c r="I22" i="2"/>
  <c r="H22" i="2"/>
  <c r="G22" i="2"/>
  <c r="E22" i="2"/>
  <c r="I25" i="2"/>
  <c r="H25" i="2"/>
  <c r="G25" i="2"/>
  <c r="E25" i="2"/>
  <c r="I15" i="2"/>
  <c r="H15" i="2"/>
  <c r="G15" i="2"/>
  <c r="E15" i="2"/>
  <c r="I17" i="2"/>
  <c r="H17" i="2"/>
  <c r="G17" i="2"/>
  <c r="E17" i="2"/>
  <c r="I20" i="2"/>
  <c r="H20" i="2"/>
  <c r="G20" i="2"/>
  <c r="E20" i="2"/>
  <c r="I14" i="2"/>
  <c r="H14" i="2"/>
  <c r="G14" i="2"/>
  <c r="E14" i="2"/>
  <c r="I9" i="2"/>
  <c r="H9" i="2"/>
  <c r="G9" i="2"/>
  <c r="E9" i="2"/>
  <c r="I4" i="2"/>
  <c r="H4" i="2"/>
  <c r="G4" i="2"/>
  <c r="E4" i="2"/>
  <c r="I2" i="2"/>
  <c r="H2" i="2"/>
</calcChain>
</file>

<file path=xl/sharedStrings.xml><?xml version="1.0" encoding="utf-8"?>
<sst xmlns="http://schemas.openxmlformats.org/spreadsheetml/2006/main" count="841" uniqueCount="322">
  <si>
    <t>Glycan name/abbr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</si>
  <si>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</si>
  <si>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</si>
  <si>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</si>
  <si>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Mass 3H+</t>
    <phoneticPr fontId="1" type="noConversion"/>
  </si>
  <si>
    <t>Mass 4H+ (max)</t>
    <phoneticPr fontId="1" type="noConversion"/>
  </si>
  <si>
    <t>MS2 in Na</t>
    <phoneticPr fontId="1" type="noConversion"/>
  </si>
  <si>
    <t>MS2 in H</t>
    <phoneticPr fontId="1" type="noConversion"/>
  </si>
  <si>
    <t>MS2 in 2H</t>
    <phoneticPr fontId="1" type="noConversion"/>
  </si>
  <si>
    <t>MS2 in 3H</t>
    <phoneticPr fontId="1" type="noConversion"/>
  </si>
  <si>
    <t>MS2 in 4H</t>
    <phoneticPr fontId="1" type="noConversion"/>
  </si>
  <si>
    <t>Criteria of selection</t>
    <phoneticPr fontId="1" type="noConversion"/>
  </si>
  <si>
    <t>note</t>
    <phoneticPr fontId="1" type="noConversion"/>
  </si>
  <si>
    <t>Man5</t>
    <phoneticPr fontId="1" type="noConversion"/>
  </si>
  <si>
    <t>H5N2</t>
    <phoneticPr fontId="1" type="noConversion"/>
  </si>
  <si>
    <t>Bio</t>
    <phoneticPr fontId="1" type="noConversion"/>
  </si>
  <si>
    <t>Man6</t>
    <phoneticPr fontId="1" type="noConversion"/>
  </si>
  <si>
    <t>H6N2</t>
    <phoneticPr fontId="1" type="noConversion"/>
  </si>
  <si>
    <t>Man7</t>
    <phoneticPr fontId="1" type="noConversion"/>
  </si>
  <si>
    <t>H7N2</t>
    <phoneticPr fontId="1" type="noConversion"/>
  </si>
  <si>
    <t>Man8</t>
    <phoneticPr fontId="1" type="noConversion"/>
  </si>
  <si>
    <t>H8N2</t>
    <phoneticPr fontId="1" type="noConversion"/>
  </si>
  <si>
    <t>Man9</t>
    <phoneticPr fontId="1" type="noConversion"/>
  </si>
  <si>
    <t>H9N2</t>
    <phoneticPr fontId="1" type="noConversion"/>
  </si>
  <si>
    <t>Hybrid GcLDNC</t>
    <phoneticPr fontId="1" type="noConversion"/>
  </si>
  <si>
    <t>H4N4G1</t>
    <phoneticPr fontId="1" type="noConversion"/>
  </si>
  <si>
    <t>Paper</t>
    <phoneticPr fontId="1" type="noConversion"/>
  </si>
  <si>
    <t>Hybrid AcLDNC</t>
    <phoneticPr fontId="1" type="noConversion"/>
  </si>
  <si>
    <t>H4N4S1</t>
    <phoneticPr fontId="1" type="noConversion"/>
  </si>
  <si>
    <t>Extend from paper</t>
    <phoneticPr fontId="1" type="noConversion"/>
  </si>
  <si>
    <t>H5N4G1</t>
    <phoneticPr fontId="1" type="noConversion"/>
  </si>
  <si>
    <t>not 20</t>
    <phoneticPr fontId="1" type="noConversion"/>
  </si>
  <si>
    <t>H5N4S1</t>
    <phoneticPr fontId="1" type="noConversion"/>
  </si>
  <si>
    <t>Bian- LeAX LDNC</t>
    <phoneticPr fontId="1" type="noConversion"/>
  </si>
  <si>
    <t>F1H4N5</t>
    <phoneticPr fontId="1" type="noConversion"/>
  </si>
  <si>
    <t>Bian- CoreFuc LN LDNC</t>
    <phoneticPr fontId="1" type="noConversion"/>
  </si>
  <si>
    <t>isotope from ms2 evidences</t>
    <phoneticPr fontId="1" type="noConversion"/>
  </si>
  <si>
    <t>Bisect- zf epitope</t>
    <phoneticPr fontId="1" type="noConversion"/>
  </si>
  <si>
    <t>F2H5N5</t>
    <phoneticPr fontId="1" type="noConversion"/>
  </si>
  <si>
    <t>Bian- AcGcLDNC</t>
    <phoneticPr fontId="1" type="noConversion"/>
  </si>
  <si>
    <t>H3N6S1G1</t>
    <phoneticPr fontId="1" type="noConversion"/>
  </si>
  <si>
    <t>Bian- GcLDNC</t>
    <phoneticPr fontId="1" type="noConversion"/>
  </si>
  <si>
    <t>H3N6G2</t>
    <phoneticPr fontId="1" type="noConversion"/>
  </si>
  <si>
    <t>Bian- AcLDNC</t>
    <phoneticPr fontId="1" type="noConversion"/>
  </si>
  <si>
    <t>H3N6S2</t>
    <phoneticPr fontId="1" type="noConversion"/>
  </si>
  <si>
    <t>Bian- zf specic 2</t>
    <phoneticPr fontId="1" type="noConversion"/>
  </si>
  <si>
    <t>F2H7N4S1</t>
    <phoneticPr fontId="1" type="noConversion"/>
  </si>
  <si>
    <t>F2H7N4G1</t>
    <phoneticPr fontId="1" type="noConversion"/>
  </si>
  <si>
    <t>F3H7N5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</si>
  <si>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</si>
  <si>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</si>
  <si>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</si>
  <si>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Bisect LN</t>
    <phoneticPr fontId="1" type="noConversion"/>
  </si>
  <si>
    <t>F1H5N5</t>
    <phoneticPr fontId="1" type="noConversion"/>
  </si>
  <si>
    <t>Glypick</t>
    <phoneticPr fontId="1" type="noConversion"/>
  </si>
  <si>
    <t>Core</t>
    <phoneticPr fontId="1" type="noConversion"/>
  </si>
  <si>
    <t>H3N4</t>
    <phoneticPr fontId="1" type="noConversion"/>
  </si>
  <si>
    <t>Core Bisect</t>
    <phoneticPr fontId="1" type="noConversion"/>
  </si>
  <si>
    <t>H3N5</t>
    <phoneticPr fontId="1" type="noConversion"/>
  </si>
  <si>
    <t>82-84</t>
    <phoneticPr fontId="1" type="noConversion"/>
  </si>
  <si>
    <t>Trian- Ac</t>
    <phoneticPr fontId="1" type="noConversion"/>
  </si>
  <si>
    <t>F2H6N5S1</t>
    <phoneticPr fontId="1" type="noConversion"/>
  </si>
  <si>
    <t>Hybrid</t>
    <phoneticPr fontId="1" type="noConversion"/>
  </si>
  <si>
    <t>H5N3</t>
    <phoneticPr fontId="1" type="noConversion"/>
  </si>
  <si>
    <t>Bian-</t>
    <phoneticPr fontId="1" type="noConversion"/>
  </si>
  <si>
    <t>F1H3N4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</si>
  <si>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</si>
  <si>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</si>
  <si>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</si>
  <si>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</si>
  <si>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</si>
  <si>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9,10,11</t>
    <phoneticPr fontId="1" type="noConversion"/>
  </si>
  <si>
    <t>H5N4</t>
    <phoneticPr fontId="1" type="noConversion"/>
  </si>
  <si>
    <t>Bisect core</t>
    <phoneticPr fontId="1" type="noConversion"/>
  </si>
  <si>
    <t>F1H3N5</t>
    <phoneticPr fontId="1" type="noConversion"/>
  </si>
  <si>
    <t>13,14</t>
    <phoneticPr fontId="1" type="noConversion"/>
  </si>
  <si>
    <t>F1H5N4</t>
    <phoneticPr fontId="1" type="noConversion"/>
  </si>
  <si>
    <t>21,22</t>
    <phoneticPr fontId="1" type="noConversion"/>
  </si>
  <si>
    <t>Bian- zf specic</t>
    <phoneticPr fontId="1" type="noConversion"/>
  </si>
  <si>
    <t>F1H6N4</t>
    <phoneticPr fontId="1" type="noConversion"/>
  </si>
  <si>
    <t>Bisect</t>
    <phoneticPr fontId="1" type="noConversion"/>
  </si>
  <si>
    <t>F2H4N5</t>
    <phoneticPr fontId="1" type="noConversion"/>
  </si>
  <si>
    <t>30-34</t>
    <phoneticPr fontId="1" type="noConversion"/>
  </si>
  <si>
    <t>Multiple possibilities</t>
    <phoneticPr fontId="1" type="noConversion"/>
  </si>
  <si>
    <t>F1H5N4S1</t>
    <phoneticPr fontId="1" type="noConversion"/>
  </si>
  <si>
    <t>35,36</t>
    <phoneticPr fontId="1" type="noConversion"/>
  </si>
  <si>
    <t>F2H6N4</t>
    <phoneticPr fontId="1" type="noConversion"/>
  </si>
  <si>
    <t>37, 38</t>
    <phoneticPr fontId="1" type="noConversion"/>
  </si>
  <si>
    <t>H6N4S1</t>
    <phoneticPr fontId="1" type="noConversion"/>
  </si>
  <si>
    <t>39-41</t>
    <phoneticPr fontId="1" type="noConversion"/>
  </si>
  <si>
    <t>F1H5N4G1</t>
    <phoneticPr fontId="1" type="noConversion"/>
  </si>
  <si>
    <t>44,45</t>
    <phoneticPr fontId="1" type="noConversion"/>
  </si>
  <si>
    <t>Bi? Tri? Bisect?</t>
    <phoneticPr fontId="1" type="noConversion"/>
  </si>
  <si>
    <t>F1H6N5</t>
    <phoneticPr fontId="1" type="noConversion"/>
  </si>
  <si>
    <t>46-49</t>
    <phoneticPr fontId="1" type="noConversion"/>
  </si>
  <si>
    <t>F1H6N4S1</t>
    <phoneticPr fontId="1" type="noConversion"/>
  </si>
  <si>
    <t>50,51</t>
    <phoneticPr fontId="1" type="noConversion"/>
  </si>
  <si>
    <t>KDN-</t>
    <phoneticPr fontId="1" type="noConversion"/>
  </si>
  <si>
    <t>F1H5N5KDN1</t>
    <phoneticPr fontId="1" type="noConversion"/>
  </si>
  <si>
    <t xml:space="preserve">Bian- zf </t>
    <phoneticPr fontId="1" type="noConversion"/>
  </si>
  <si>
    <t>F2H7N4</t>
    <phoneticPr fontId="1" type="noConversion"/>
  </si>
  <si>
    <t>wrong icon in paper</t>
    <phoneticPr fontId="1" type="noConversion"/>
  </si>
  <si>
    <t>F1H4N6KDN1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</si>
  <si>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</si>
  <si>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</si>
  <si>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</si>
  <si>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</si>
  <si>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Bisect KDN</t>
    <phoneticPr fontId="1" type="noConversion"/>
  </si>
  <si>
    <t>F2H5N5KDN1</t>
    <phoneticPr fontId="1" type="noConversion"/>
  </si>
  <si>
    <t>62-64</t>
    <phoneticPr fontId="1" type="noConversion"/>
  </si>
  <si>
    <t>Bian- zf</t>
    <phoneticPr fontId="1" type="noConversion"/>
  </si>
  <si>
    <t>F2H6N4S1</t>
    <phoneticPr fontId="1" type="noConversion"/>
  </si>
  <si>
    <t>F1H5N4S1G1</t>
    <phoneticPr fontId="1" type="noConversion"/>
  </si>
  <si>
    <t>F3H7N4</t>
    <phoneticPr fontId="1" type="noConversion"/>
  </si>
  <si>
    <t>67,68</t>
    <phoneticPr fontId="1" type="noConversion"/>
  </si>
  <si>
    <t>F1H6N5KDN1</t>
    <phoneticPr fontId="1" type="noConversion"/>
  </si>
  <si>
    <t>F2H6N4G1</t>
    <phoneticPr fontId="1" type="noConversion"/>
  </si>
  <si>
    <t>69,70</t>
    <phoneticPr fontId="1" type="noConversion"/>
  </si>
  <si>
    <t>F1H6N5S1</t>
    <phoneticPr fontId="1" type="noConversion"/>
  </si>
  <si>
    <t>F2H5N5G1</t>
    <phoneticPr fontId="1" type="noConversion"/>
  </si>
  <si>
    <t>71-73</t>
    <phoneticPr fontId="1" type="noConversion"/>
  </si>
  <si>
    <t>Bisect or Trian-</t>
    <phoneticPr fontId="1" type="noConversion"/>
  </si>
  <si>
    <t>F2H7N5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</si>
  <si>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</si>
  <si>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</si>
  <si>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</si>
  <si>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F2H5N4S1G1</t>
    <phoneticPr fontId="1" type="noConversion"/>
  </si>
  <si>
    <t>F2H6N5KDN1</t>
    <phoneticPr fontId="1" type="noConversion"/>
  </si>
  <si>
    <t>79, 80</t>
    <phoneticPr fontId="1" type="noConversion"/>
  </si>
  <si>
    <t>Bian- zf AcGc</t>
    <phoneticPr fontId="1" type="noConversion"/>
  </si>
  <si>
    <t>F1H6N4S1G1</t>
    <phoneticPr fontId="1" type="noConversion"/>
  </si>
  <si>
    <t>F3H7N4S1</t>
    <phoneticPr fontId="1" type="noConversion"/>
  </si>
  <si>
    <t>87,88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</si>
  <si>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</si>
  <si>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</si>
  <si>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</si>
  <si>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Trian- Ac zf</t>
    <phoneticPr fontId="1" type="noConversion"/>
  </si>
  <si>
    <t>F3H9N5S3</t>
    <phoneticPr fontId="1" type="noConversion"/>
  </si>
  <si>
    <t xml:space="preserve">Tetra- </t>
    <phoneticPr fontId="1" type="noConversion"/>
  </si>
  <si>
    <t>F2H11N7S1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</si>
  <si>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</si>
  <si>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</si>
  <si>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</si>
  <si>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</si>
  <si>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</si>
  <si>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</si>
  <si>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16-19</t>
    <phoneticPr fontId="1" type="noConversion"/>
  </si>
  <si>
    <t>Bian- AcLN</t>
    <phoneticPr fontId="1" type="noConversion"/>
  </si>
  <si>
    <t>only 27 (from 25~29)</t>
    <phoneticPr fontId="1" type="noConversion"/>
  </si>
  <si>
    <t>F1H7N4S1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</si>
  <si>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</si>
  <si>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</si>
  <si>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</si>
  <si>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Notes</t>
    <phoneticPr fontId="1" type="noConversion"/>
  </si>
  <si>
    <t>ion name</t>
    <phoneticPr fontId="1" type="noConversion"/>
  </si>
  <si>
    <t>ion type</t>
    <phoneticPr fontId="1" type="noConversion"/>
  </si>
  <si>
    <t>notes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</si>
  <si>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</si>
  <si>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</si>
  <si>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zebrafish N-glycan intestine</t>
    <phoneticPr fontId="1" type="noConversion"/>
  </si>
  <si>
    <t>only ion list copied from previous Glypick results w/ validation (20240622)</t>
    <phoneticPr fontId="1" type="noConversion"/>
  </si>
  <si>
    <t>H3N4</t>
  </si>
  <si>
    <t>F1H3N4</t>
  </si>
  <si>
    <t>H4N4</t>
  </si>
  <si>
    <t>H3N5</t>
  </si>
  <si>
    <t>F1H4N4</t>
  </si>
  <si>
    <t>H5N4</t>
  </si>
  <si>
    <t>F1H3N5</t>
  </si>
  <si>
    <t>F1H5N4</t>
  </si>
  <si>
    <t>F1H4N5</t>
  </si>
  <si>
    <t>F1H5N5</t>
  </si>
  <si>
    <t>F1H4N5K1</t>
  </si>
  <si>
    <t>F1H5N4S1</t>
  </si>
  <si>
    <t>F1H4N5S1</t>
  </si>
  <si>
    <t>F1H6N4S1</t>
  </si>
  <si>
    <t>F1H5N5S1</t>
  </si>
  <si>
    <t>F2H6N4S1</t>
  </si>
  <si>
    <t>F2H5N5K1</t>
  </si>
  <si>
    <t>F1H7N4S1</t>
  </si>
  <si>
    <t>F1H5N5K2</t>
  </si>
  <si>
    <t>F1H5N5S1K1</t>
  </si>
  <si>
    <t>F1H6N4S2</t>
  </si>
  <si>
    <t>F2H6N5K1</t>
  </si>
  <si>
    <t>F2H7N4S1</t>
  </si>
  <si>
    <t>F2H6N5S1</t>
  </si>
  <si>
    <t>F2H7N4S2</t>
  </si>
  <si>
    <t>F3H8N4S1</t>
  </si>
  <si>
    <t>F2H7N4S1G1</t>
  </si>
  <si>
    <t>F2H7N4G2</t>
  </si>
  <si>
    <t>only keep entries with ok status / ok(10e5)</t>
    <phoneticPr fontId="1" type="noConversion"/>
  </si>
  <si>
    <t>PS G:\GlycoMSParser&gt; python .\2024review\msprawextractor.py
Selected raw file: G:/zf_sPerMeNG_ovary.raw
[debug] need to create debug logs when debug is set to True.
[debug] Also need a readable log that records needed information and the operation can be reproduced when loading that record.
[debug add debug log and record log in debug block]
[debug]: start calculate time spent for converting data
Extraction finished.
[debug]Raw file has been closed.
[debug]Preparing information for writing...
[debug]Time spent for extraction: 299 seconds.
Enter title of this experiment. For example 'human T cells'.
zebrafish extracted glycans                      
Enter details of this experiment. For example 'SiaT KO test'
zebrafish permethylated ovary N-glycan for validating 2017 natcomm paper from Yann
Enter your name so other knows who did the analysis.
Huan-Chuan TSENG
Enter the date when the raw file was obtained in YYYY/MM/DD format. For example '20240229'.
20190506
Enter glycan type of analysis. (N/O/GL/N+O/others).
N
Enter mass spec detection mode (+/-)+
Please decide format for saving extracted file. (A/a/arff) for arff format, (C/c/csv) or leave it blank will generate csv file.csv
Enter the name you want to save for this project or batch of analysis.
zebrafish_Yann_glycome_20240922
writing to csv...
[debug]Finished exported ms2_zebrafish_Yann_glycome_20240922_20240922_zf_sPerMeNG_ovary.raw.csv from raw data
[debug]Time spent for extraction: 6.960828065872192 seconds.
MS2 export ms2_zebrafish_Yann_glycome_20240922_20240922_zf_sPerMeNG_ovary.raw.csv has finished
writing to csv...
[debug]Finished exported ms3_zebrafish_Yann_glycome_20240922_20240922_zf_sPerMeNG_ovary.raw.csv from raw data
[debug]Time spent for extraction: 2.3161678314208984 seconds.
MS3 export ms3_zebrafish_Yann_glycome_20240922_20240922_zf_sPerMeNG_ovary.raw.csv has finished
[debug] Export debug logs...
Extraction finished</t>
    <phoneticPr fontId="1" type="noConversion"/>
  </si>
  <si>
    <t>2H</t>
  </si>
  <si>
    <t>3H</t>
  </si>
  <si>
    <t>peak</t>
    <phoneticPr fontId="1" type="noConversion"/>
  </si>
  <si>
    <t>Structure</t>
    <phoneticPr fontId="1" type="noConversion"/>
  </si>
  <si>
    <t>mass</t>
    <phoneticPr fontId="1" type="noConversion"/>
  </si>
  <si>
    <t>列標籤</t>
  </si>
  <si>
    <t>(空白)</t>
  </si>
  <si>
    <t>總計</t>
  </si>
  <si>
    <t>計數 - Structure</t>
  </si>
  <si>
    <t>class count</t>
    <phoneticPr fontId="1" type="noConversion"/>
  </si>
  <si>
    <t>MS2scan_no</t>
    <phoneticPr fontId="1" type="noConversion"/>
  </si>
  <si>
    <t>do minor edits and make this file template file (20251215)</t>
    <phoneticPr fontId="1" type="noConversion"/>
  </si>
  <si>
    <t>(metadata stores identical information of this table)</t>
    <phoneticPr fontId="1" type="noConversion"/>
  </si>
  <si>
    <t>Derivatization</t>
    <phoneticPr fontId="1" type="noConversion"/>
  </si>
  <si>
    <t>Permethylated</t>
    <phoneticPr fontId="1" type="noConversion"/>
  </si>
  <si>
    <t>Positive mode</t>
    <phoneticPr fontId="1" type="noConversion"/>
  </si>
  <si>
    <t>Charge mode</t>
    <phoneticPr fontId="1" type="noConversion"/>
  </si>
  <si>
    <t>0.7+</t>
    <phoneticPr fontId="1" type="noConversion"/>
  </si>
  <si>
    <t>Sheet 1:</t>
    <phoneticPr fontId="1" type="noConversion"/>
  </si>
  <si>
    <t>Glycanlist</t>
    <phoneticPr fontId="1" type="noConversion"/>
  </si>
  <si>
    <t>Save MAS summary and values for reviewing MS2</t>
    <phoneticPr fontId="1" type="noConversion"/>
  </si>
  <si>
    <t>Annotation columns</t>
    <phoneticPr fontId="1" type="noConversion"/>
  </si>
  <si>
    <t>ref to paper, database, for man reference</t>
    <phoneticPr fontId="1" type="noConversion"/>
  </si>
  <si>
    <t>Glycan no/name (ref)</t>
    <phoneticPr fontId="1" type="noConversion"/>
  </si>
  <si>
    <t xml:space="preserve">your (lab's) customized naming </t>
    <phoneticPr fontId="1" type="noConversion"/>
  </si>
  <si>
    <t>Structural identifiers</t>
    <phoneticPr fontId="1" type="noConversion"/>
  </si>
  <si>
    <t>Composition</t>
    <phoneticPr fontId="1" type="noConversion"/>
  </si>
  <si>
    <t xml:space="preserve">F, N, H, S, … </t>
    <phoneticPr fontId="1" type="noConversion"/>
  </si>
  <si>
    <t>structure-specific texts, such as (Gal3S-GlcNAc6S)(LacNAc)nCore</t>
    <phoneticPr fontId="1" type="noConversion"/>
  </si>
  <si>
    <t>m/z columns</t>
    <phoneticPr fontId="1" type="noConversion"/>
  </si>
  <si>
    <t>…</t>
    <phoneticPr fontId="1" type="noConversion"/>
  </si>
  <si>
    <t>extend at your own needs</t>
    <phoneticPr fontId="1" type="noConversion"/>
  </si>
  <si>
    <t>Others</t>
    <phoneticPr fontId="1" type="noConversion"/>
  </si>
  <si>
    <t xml:space="preserve">Not recognized in GlycoMSP </t>
    <phoneticPr fontId="1" type="noConversion"/>
  </si>
  <si>
    <t>Sheet 2:</t>
    <phoneticPr fontId="1" type="noConversion"/>
  </si>
  <si>
    <t>Mslist</t>
    <phoneticPr fontId="1" type="noConversion"/>
  </si>
  <si>
    <t>Save manual annotation of reviewed MS2</t>
    <phoneticPr fontId="1" type="noConversion"/>
  </si>
  <si>
    <t xml:space="preserve">Used in GlycoMSP MAS workflow </t>
    <phoneticPr fontId="1" type="noConversion"/>
  </si>
  <si>
    <t>Documentation v0.9</t>
    <phoneticPr fontId="1" type="noConversion"/>
  </si>
  <si>
    <t>Column naming may change</t>
    <phoneticPr fontId="1" type="noConversion"/>
  </si>
  <si>
    <t>Composition (may change name in v1.0)</t>
    <phoneticPr fontId="1" type="noConversion"/>
  </si>
  <si>
    <t>MS2 scan no confrimed by human</t>
    <phoneticPr fontId="1" type="noConversion"/>
  </si>
  <si>
    <t>(Optional) Customized annotation/Structureal-specifi annotation</t>
    <phoneticPr fontId="1" type="noConversion"/>
  </si>
  <si>
    <t>metadata by man</t>
    <phoneticPr fontId="1" type="noConversion"/>
  </si>
  <si>
    <t xml:space="preserve">ms2 count </t>
    <phoneticPr fontId="1" type="noConversion"/>
  </si>
  <si>
    <t>(Optional) peak in chromatogram</t>
    <phoneticPr fontId="1" type="noConversion"/>
  </si>
  <si>
    <t>(Optional) observed mass shift from mono</t>
    <phoneticPr fontId="1" type="noConversion"/>
  </si>
  <si>
    <t>(Optional) determines the adduct</t>
    <phoneticPr fontId="1" type="noConversion"/>
  </si>
  <si>
    <t>diff profile</t>
    <phoneticPr fontId="1" type="noConversion"/>
  </si>
  <si>
    <t>(Optional) to separate glycans in unresolved peak</t>
    <phoneticPr fontId="1" type="noConversion"/>
  </si>
  <si>
    <t>Sheet 3:</t>
    <phoneticPr fontId="1" type="noConversion"/>
  </si>
  <si>
    <t>ionlist</t>
    <phoneticPr fontId="1" type="noConversion"/>
  </si>
  <si>
    <t>Save features (diagnostic fragmentation ions) for conversion</t>
    <phoneticPr fontId="1" type="noConversion"/>
  </si>
  <si>
    <t xml:space="preserve">Used in GlycoMSP CGA and ML dependent workflow </t>
    <phoneticPr fontId="1" type="noConversion"/>
  </si>
  <si>
    <t>structural identifiers</t>
    <phoneticPr fontId="1" type="noConversion"/>
  </si>
  <si>
    <t>fragmentation ion mass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</si>
  <si>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</si>
  <si>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</si>
  <si>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</si>
  <si>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</si>
  <si>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fragmentation type (B, Y, YY, 15A…, etc)</t>
    <phoneticPr fontId="1" type="noConversion"/>
  </si>
  <si>
    <t>annotation of that ion</t>
    <phoneticPr fontId="1" type="noConversion"/>
  </si>
  <si>
    <t>glycotope or certain strcutural texts specifically having this ion</t>
    <phoneticPr fontId="1" type="noConversion"/>
  </si>
  <si>
    <t>Sheet 4:</t>
    <phoneticPr fontId="1" type="noConversion"/>
  </si>
  <si>
    <t>information sheet</t>
    <phoneticPr fontId="1" type="noConversion"/>
  </si>
  <si>
    <t>Save information and changelogs by human</t>
    <phoneticPr fontId="1" type="noConversion"/>
  </si>
  <si>
    <t>GlycoMSP stores metadata identical to the grey table (single sample)</t>
    <phoneticPr fontId="1" type="noConversion"/>
  </si>
  <si>
    <t>Merged samples</t>
    <phoneticPr fontId="1" type="noConversion"/>
  </si>
  <si>
    <t>No</t>
    <phoneticPr fontId="1" type="noConversion"/>
  </si>
  <si>
    <t>Information columns</t>
    <phoneticPr fontId="1" type="noConversion"/>
  </si>
  <si>
    <t>If this sheet covers multiple samples, record it</t>
    <phoneticPr fontId="1" type="noConversion"/>
  </si>
  <si>
    <t>GlycoMSP version</t>
    <phoneticPr fontId="1" type="noConversion"/>
  </si>
  <si>
    <t>compatible to GlycoMSP version (autodetected/recored by GlycoMSP)</t>
    <phoneticPr fontId="1" type="noConversion"/>
  </si>
  <si>
    <t>Operation logs/ changes on this sheet (record manually)</t>
    <phoneticPr fontId="1" type="noConversion"/>
  </si>
  <si>
    <t>Pivot_MSlist</t>
    <phoneticPr fontId="1" type="noConversion"/>
  </si>
  <si>
    <t>Calculating the class count in Mslist</t>
    <phoneticPr fontId="1" type="noConversion"/>
  </si>
  <si>
    <t>conversion_log</t>
    <phoneticPr fontId="1" type="noConversion"/>
  </si>
  <si>
    <t>log exported by GlycoMSP (paste here for confirming original source before hash value integrity check implemented)</t>
    <phoneticPr fontId="1" type="noConversion"/>
  </si>
  <si>
    <t>Person of charge doing MAS:</t>
    <phoneticPr fontId="1" type="noConversion"/>
  </si>
  <si>
    <t>Huan-chuan TSENG</t>
    <phoneticPr fontId="1" type="noConversion"/>
  </si>
  <si>
    <t xml:space="preserve">Name of person doing MAS </t>
    <phoneticPr fontId="1" type="noConversion"/>
  </si>
  <si>
    <t>Person of charge doing MAS</t>
    <phoneticPr fontId="1" type="noConversion"/>
  </si>
  <si>
    <t>* Extend columns on your needs</t>
    <phoneticPr fontId="1" type="noConversion"/>
  </si>
  <si>
    <t>extend on your own needs</t>
    <phoneticPr fontId="1" type="noConversion"/>
  </si>
  <si>
    <t>Showing the MS2 spectra converted in GlycoMSP for analysis</t>
    <phoneticPr fontId="1" type="noConversion"/>
  </si>
  <si>
    <t>MAS_MLref (DEMO)</t>
    <phoneticPr fontId="1" type="noConversion"/>
  </si>
  <si>
    <t>Showing ML-applicable converted MS2 spectra feature matrix</t>
    <phoneticPr fontId="1" type="noConversion"/>
  </si>
  <si>
    <t>protonatedmass</t>
  </si>
  <si>
    <t>Structure</t>
  </si>
  <si>
    <t>IUPACname(optional)</t>
  </si>
  <si>
    <t>Glycanannotation2</t>
  </si>
  <si>
    <t>unique_ID</t>
  </si>
  <si>
    <t>entry_no</t>
  </si>
  <si>
    <t>MS1scan_no</t>
  </si>
  <si>
    <t>MS1_isolationmass</t>
  </si>
  <si>
    <t>MS1_monoisolationmass</t>
  </si>
  <si>
    <t>chargeState</t>
  </si>
  <si>
    <t>MS2scan_no</t>
  </si>
  <si>
    <t>peaklist</t>
  </si>
  <si>
    <t>peakintensity</t>
  </si>
  <si>
    <t>(94.06502532958984, 95.04912567138672, 97.0648193359375, 98.0603256225586, 98.2461166381836, 99.0440902709961, 101.0387191772461, 101.05979919433594, 103.2337417602539, 110.05992889404297, 111.04400634765625, 112.04310607910156, 112.0472640991211, 113.05960845947266, 114.19961547851562, 115.07510375976562, 122.05988311767578, 123.04398345947266, 124.2364730834961, 125.05960083007812, 126.09119415283203, 126.22443389892578, 127.0751953125, 129.09109497070312, 132.78424072265625, 137.910888671875, 140.0706329345703, 141.05455017089844, 143.07005310058594, 144.19410705566406, 145.08592224121094, 152.07064819335938, 153.67120361328125, 154.0862579345703, 155.0701446533203, 156.07362365722656, 157.085693359375, 163.2570037841797, 165.74462890625, 168.32325744628906, 169.04920959472656, 172.09632873535156, 173.08074951171875, 174.19793701171875, 179.53765869140625, 182.08079528808594, 186.11221313476562, 187.0962677001953, 188.09954833984375, 189.10397338867188, 189.1121826171875, 196.0966339111328, 197.10037231445312, 198.11228942871094, 205.1067657470703, 214.10699462890625, 215.11024475097656, 219.12222290039062, 224.0908203125, 228.12274169921875, 229.1261444091797, 230.12646484375, 232.11802673339844, 239.0914306640625, 239.19976806640625, 239.57948303222656, 243.9761505126953, 246.13330078125, 247.13670349121094, 260.14886474609375, 261.1523132324219, 262.1551513671875, 278.0723571777344, 278.0975036621094, 303.1435546875, 312.1437683105469, 344.169189453125, 370.18585205078125, 372.201416015625, 374.1815490722656, 376.1956787109375, 386.18072509765625, 390.21075439453125, 400.1959533691406, 402.212646484375, 418.206787109375, 419.20672607421875, 420.2217102050781, 432.22210693359375, 433.2256774902344, 434.236572265625, 435.2413024902344, 436.2164306640625, 450.2326354980469, 451.2362365722656, 452.248291015625, 464.2483215332031, 465.25164794921875, 466.253662109375, 484.25927734375, 488.2769470214844, 570.2760009765625, 578.172119140625, 590.2808837890625, 594.3095703125, 604.2952880859375, 614.306884765625, 622.3059692382812, 623.3082885742188, 636.3214721679688, 637.3237915039062, 638.3365478515625, 639.3438110351562, 640.3160400390625, 649.3170166015625, 654.3302001953125, 665.349365234375, 668.3448486328125, 669.351806640625, 674.8471069335938, 681.3426513671875, 685.44287109375, 697.3721313476562, 720.4096069335938, 746.3884887695312, 776.89306640625, 777.3984985351562, 808.3990478515625, 840.1116943359375, 840.4221801757812, 853.4193725585938, 854.4199829101562, 885.44189453125, 886.4458618164062, 887.4457397460938, 889.9345092773438, 890.4462890625, 899.4584350585938, 899.9581298828125, 900.4566650390625, 900.9666137695312, 906.4661254882812, 906.9684448242188, 907.47021484375, 954.9550170898438, 984.4912719726562, 984.989013671875, 986.500732421875, 987.0016479492188, 993.5037841796875, 994.0106201171875, 994.5145874023438, 1002.5150756835938, 1003.017578125, 1022.0176391601562, 1023.0208740234375, 1023.529052734375, 1057.516845703125, 1058.520263671875, 1089.5411376953125, 1090.545654296875, 1091.55322265625, 1103.5609130859375, 1116.0760498046875, 1116.5736083984375, 1117.073486328125, 1130.5673828125, 1131.627685546875, 1132.09326171875, 1132.591064453125, 1133.0853271484375, 1133.54931640625, 1144.5892333984375, 1145.582763671875, 1297.76953125, 1304.6522216796875, 1334.668701171875, 1335.6663818359375, 1336.68701171875, 1348.685302734375, 1349.6878662109375, 1350.6878662109375, 1509.7374267578125, 1552.7816162109375, 1553.78466796875, 1554.78515625, 1593.8031005859375, 1594.819091796875, 1746.5675048828125, 1767.898681640625, 1768.909423828125, 1799.9114990234375, 1800.917724609375)</t>
  </si>
  <si>
    <t>(4676.1728515625, 11427.66796875, 13432.4501953125, 2455.599853515625, 2650.05224609375, 61234.2265625, 2423.159423828125, 10188.962890625, 2676.667236328125, 5615.39892578125, 260209.515625, 3730.937744140625, 15486.4189453125, 12883.310546875, 2992.824951171875, 3343.779541015625, 14818.4892578125, 7615.3642578125, 3255.893798828125, 11842.1875, 10413.3857421875, 3544.546142578125, 21288.677734375, 9709.08203125, 3691.26318359375, 3747.013671875, 26692.3828125, 20129.673828125, 7109.7041015625, 4480.69091796875, 44711.171875, 14376.85546875, 3761.224365234375, 48041.02734375, 119368.7578125, 7273.9111328125, 31089.650390625, 4621.06640625, 4025.112060546875, 4459.2998046875, 6188.796875, 6753.80517578125, 14170.7744140625, 3916.820556640625, 4789.984375, 44470.33203125, 19824.771484375, 136696.96875, 12302.873046875, 4887.3935546875, 36016.4375, 449134.75, 26472.49609375, 10630.564453125, 10949.8310546875, 34197.453125, 6789.8154296875, 10889.9150390625, 4367.89208984375, 1108589.75, 110046.453125, 6051.9326171875, 8360.65625, 9940.1513671875, 4335.69921875, 4317.12890625, 4963.43994140625, 251438.5, 17805.845703125, 2216833.25, 241217.671875, 10953.12109375, 4739.919921875, 5382.76611328125, 7508.3251953125, 8182.67236328125, 37807.40625, 8993.091796875, 11677.271484375, 20511.0078125, 13639.11328125, 9693.720703125, 14716.2744140625, 9061.609375, 7664.134765625, 40782.08203125, 8543.7587890625, 26980.66015625, 854569.25, 157601.75, 30799.89453125, 6482.62060546875, 10722.330078125, 111990.890625, 10390.2412109375, 9738.666015625, 875523.875, 167703.015625, 18048.712890625, 5192.8505859375, 5204.77001953125, 7490.798828125, 5504.50439453125, 6075.9599609375, 7384.97412109375, 7528.8974609375, 5140.33154296875, 10556.861328125, 6548.505859375, 66856.390625, 21203.62109375, 20640.236328125, 7057.73779296875, 14509.3037109375, 6761.69384765625, 11083.1474609375, 12317.3662109375, 19892.5390625, 9825.07421875, 5354.16259765625, 12332.1123046875, 5001.56640625, 7309.53759765625, 5687.466796875, 7260.7890625, 9610.0615234375, 6441.0849609375, 12651.7978515625, 4878.35888671875, 6985.09375, 27454.66015625, 6817.85791015625, 49573.06640625, 20286.044921875, 6763.58154296875, 6312.30908203125, 10710.6142578125, 13788.0986328125, 9644.841796875, 16812.25, 9218.806640625, 103388.2890625, 109784.0703125, 36424.12890625, 8435.2958984375, 7672.78955078125, 6353.8583984375, 10839.0693359375, 6638.86767578125, 14456.8466796875, 11902.341796875, 6815.421875, 10160.0166015625, 16168.87890625, 6665.19287109375, 6907.70068359375, 9689.64453125, 11352.701171875, 10455.5205078125, 62264.546875, 34224.78125, 6599.587890625, 7516.3466796875, 25435.9375, 40249.57421875, 23306.44140625, 11868.423828125, 24207.376953125, 40821.1015625, 111304.0390625, 36258.4296875, 8517.9951171875, 16708.65625, 15988.6787109375, 6023.22705078125, 9301.0830078125, 25621.138671875, 12497.9970703125, 6121.484375, 101987.25, 81181.6640625, 21371.638671875, 6095.01416015625, 82056.2890625, 57094.6015625, 19623.07421875, 12281.1953125, 6802.69140625, 5487.12939453125, 8051.8271484375, 7664.11865234375, 8174.3505859375, 6852.970703125)</t>
  </si>
  <si>
    <t>(90.70402526855469, 91.77371978759766, 94.06507110595703, 95.04914855957031, 96.62850189208984, 97.06465148925781, 98.06002044677734, 99.04414367675781, 101.05667877197266, 101.05976867675781, 102.57312774658203, 108.4737548828125, 110.06008911132812, 111.0440673828125, 112.04737854003906, 113.04119110107422, 113.05955505371094, 113.48894500732422, 115.07518005371094, 122.06004333496094, 123.0439224243164, 125.0551528930664, 125.05962371826172, 126.05508422851562, 126.09148406982422, 127.07533264160156, 128.0117645263672, 129.0546875, 140.07040405273438, 141.0545654296875, 143.0700225830078, 145.08590698242188, 151.52505493164062, 152.07044982910156, 154.08621215820312, 155.07022094726562, 156.07325744628906, 156.10128784179688, 157.085693359375, 169.0491485595703, 172.09664916992188, 173.0808868408203, 173.46530151367188, 179.0694580078125, 182.0806884765625, 184.0988311767578, 186.10348510742188, 186.11244201660156, 187.0963897705078, 188.09982299804688, 189.11187744140625, 196.09671020507812, 197.1002197265625, 198.11239624023438, 205.1067657470703, 205.40234375, 214.1072998046875, 215.1103057861328, 215.74191284179688, 219.12252807617188, 220.12681579589844, 225.07705688476562, 226.20706176757812, 228.12281799316406, 229.12632751464844, 239.09130859375, 240.1227569580078, 242.1026611328125, 246.13331604003906, 247.1367645263672, 248.06060791015625, 258.97161865234375, 260.1489562988281, 261.1523742675781, 261.1688232421875, 262.15380859375, 270.1319580078125, 271.1166687011719, 278.1596984863281, 287.1683349609375, 288.1606140136719, 303.14373779296875, 308.1495666503906, 312.14404296875, 322.1761474609375, 331.13916015625, 339.1902160644531, 344.1700439453125, 345.17388916015625, 358.184814453125, 359.16925048828125, 372.2007141113281, 374.18017578125, 376.1959533691406, 377.6932067871094, 390.1729736328125, 390.2122802734375, 391.1951599121094, 400.1971130371094, 418.2062072753906, 419.2093200683594, 420.2223205566406, 432.2223205566406, 433.22601318359375, 434.2340087890625, 436.2165832519531, 437.2193908691406, 450.233642578125, 459.2341003417969, 464.24847412109375, 465.252197265625, 466.2565002441406, 467.2549133300781, 485.2264404296875, 491.2594299316406, 523.2852172851562, 548.293212890625, 549.2522583007812, 562.2739868164062, 582.2783813476562, 612.28662109375, 612.3406372070312, 613.2984619140625, 621.3436889648438, 622.3027954101562, 622.794677734375, 623.3101806640625, 628.274658203125, 636.3229370117188, 637.3355712890625, 638.3445434570312, 640.3168334960938, 641.3228149414062, 644.319580078125, 647.324462890625, 649.3170776367188, 654.3331909179688, 655.3408813476562, 667.8390502929688, 668.3413696289062, 681.342529296875, 682.3472900390625, 691.3534545898438, 756.3794555664062, 760.88427734375, 767.3688354492188, 776.8956298828125, 777.3973388671875, 792.3681640625, 792.904296875, 793.4116821289062, 798.3780517578125, 806.413818359375, 840.4208984375, 844.4183349609375, 853.4158935546875, 854.4236450195312, 858.427490234375, 863.4252319335938, 863.9251098632812, 869.9389038085938, 870.4390258789062, 871.4273681640625, 872.4428100585938, 876.9298095703125, 877.4324951171875, 883.447998046875, 885.4439697265625, 885.9531860351562, 886.4545288085938, 886.9566650390625, 894.9600830078125, 895.4573974609375, 899.4610595703125, 899.96044921875, 900.46337890625, 901.5593872070312, 915.4725341796875, 915.9750366210938, 958.4947509765625, 984.4703979492188, 989.5064697265625, 992.5016479492188, 993.0020751953125, 1007.538330078125, 1008.511962890625, 1009.021728515625, 1015.5062866210938, 1016.49609375, 1023.508056640625, 1023.9808959960938, 1024.5262451171875, 1025.0323486328125, 1025.478271484375, 1034.5006103515625, 1043.5126953125, 1044.5174560546875, 1048.5152587890625, 1049.5159912109375, 1057.5211181640625, 1062.5323486328125, 1063.5274658203125, 1071.5279541015625, 1075.52783203125, 1076.5323486328125, 1089.542724609375, 1090.5474853515625, 1103.5592041015625, 1112.5633544921875, 1132.583984375, 1144.58203125, 1145.5872802734375, 1219.6019287109375, 1220.593505859375, 1247.7415771484375, 1252.6123046875, 1261.61669921875, 1262.618408203125, 1266.6318359375, 1275.633544921875, 1276.63720703125, 1293.6427001953125, 1294.645263671875, 1294.813720703125, 1307.657470703125, 1308.660888671875, 1334.6707763671875, 1335.66796875, 1352.69482421875, 1366.7015380859375, 1479.730712890625, 1480.73095703125, 1511.758056640625, 1512.7607421875, 1513.7664794921875, 1520.7515869140625, 1538.769775390625, 1539.780517578125, 1552.7833251953125, 1553.7845458984375, 1566.7802734375, 1570.7991943359375, 1584.818603515625, 1585.822265625, 1611.84716796875, 1637.8309326171875, 1715.557373046875, 1724.8583984375, 1756.8853759765625, 1757.892822265625, 1788.91650390625, 1789.9146728515625, 1829.9393310546875)</t>
  </si>
  <si>
    <t>(1403.5888671875, 1808.505126953125, 2089.208984375, 19815.62109375, 1541.6993408203125, 5136.28271484375, 1415.5059814453125, 21960.93359375, 1361.576416015625, 12571.5419921875, 1628.6368408203125, 1817.7198486328125, 2974.9208984375, 481921.03125, 13626.84765625, 1933.4488525390625, 4950.50146484375, 1836.0250244140625, 1833.164794921875, 19023.681640625, 17586.150390625, 1932.38916015625, 9894.138671875, 3600.330078125, 12033.6728515625, 73831.1171875, 1787.00048828125, 3505.551513671875, 11704.0078125, 22418.193359375, 7947.2060546875, 31997.2421875, 2442.530029296875, 15947.3466796875, 66555.84375, 180710.484375, 8117.85986328125, 2324.4560546875, 9692.466796875, 3936.339111328125, 15653.5771484375, 11843.001953125, 2594.09326171875, 2535.685791015625, 4391.82373046875, 2341.58642578125, 3157.11865234375, 35770.9765625, 1143719.875, 53876.43359375, 10665.361328125, 444998.125, 25588.537109375, 5659.76806640625, 8980.1240234375, 2438.4638671875, 48046.88671875, 4474.04248046875, 2680.921630859375, 91024.046875, 3303.353515625, 2964.57470703125, 2613.970458984375, 2520086.75, 136221.46875, 8650.720703125, 7135.29443359375, 3025.5986328125, 108239.828125, 9942.654296875, 2730.723388671875, 2896.81591796875, 3326120.75, 214643.5, 5660.427734375, 4045.199462890625, 3094.013916015625, 6125.056640625, 7967.55322265625, 2556.9091796875, 3180.751953125, 10591.1552734375, 2972.648193359375, 10025.353515625, 7378.80322265625, 6873.44921875, 2891.60302734375, 44898.0625, 10101.5615234375, 3798.447509765625, 9906.0, 20957.15234375, 8275.974609375, 12712.2978515625, 3130.7392578125, 3536.084228515625, 8711.6787109375, 6007.3740234375, 3585.14990234375, 24931.74609375, 5331.39404296875, 9085.9814453125, 353862.65625, 45009.0546875, 4432.79638671875, 34016.73828125, 5340.16845703125, 14380.10546875, 3963.783935546875, 119069.625, 24011.04296875, 4674.0556640625, 2960.84814453125, 3416.5390625, 6170.6064453125, 10299.7158203125, 8271.7744140625, 12296.203125, 17231.119140625, 19329.728515625, 11796.7734375, 3186.502197265625, 3696.52783203125, 5260.65576171875, 13593.1669921875, 3374.746826171875, 5049.1787109375, 3378.122802734375, 13567.7939453125, 8937.4296875, 13989.10546875, 19679.744140625, 5453.62646484375, 3123.150634765625, 5231.06494140625, 18382.240234375, 18173.419921875, 6685.91552734375, 10720.9736328125, 8711.9990234375, 28630.234375, 5043.4892578125, 3711.696044921875, 9167.73828125, 12645.9091796875, 7441.041015625, 130231.4609375, 54918.7421875, 5355.455078125, 8972.421875, 4392.83203125, 3748.247802734375, 5063.39208984375, 9849.71875, 3850.37890625, 7864.595703125, 3543.36279296875, 8349.4599609375, 3834.126220703125, 3562.6669921875, 34093.8125, 13030.12890625, 12349.37109375, 11488.6396484375, 7793.14404296875, 7727.8095703125, 7633.044921875, 31143.841796875, 408114.46875, 232423.5625, 8460.73046875, 12033.7587890625, 6016.291015625, 22217.21484375, 5420.28076171875, 4732.07666015625, 3313.35595703125, 69481.0234375, 36061.0234375, 5416.619140625, 3079.89697265625, 3454.232177734375, 20606.6015625, 5759.39794921875, 3727.730224609375, 14551.865234375, 12394.982421875, 9375.1181640625, 5518.986328125, 30109.560546875, 20768.8828125, 278525.71875, 96436.0859375, 11690.5537109375, 4182.06884765625, 3572.998291015625, 4284.88232421875, 14811.7294921875, 6813.50048828125, 17505.4921875, 3520.712646484375, 4493.712890625, 3673.924560546875, 30919.3046875, 8033.25634765625, 104011.5078125, 32445.603515625, 13689.099609375, 4441.6025390625, 4487.75830078125, 47243.1328125, 17755.71484375, 3475.656982421875, 5167.1318359375, 4009.369384765625, 7203.70654296875, 22065.73046875, 3881.838623046875, 6169.69970703125, 24155.822265625, 9228.244140625, 235964.53125, 73877.5234375, 2204.0498046875, 218287.125, 67315.609375, 37210.109375, 17205.45703125, 5819.69140625, 12251.3671875, 31232.025390625, 11740.72265625, 479510.625, 212987.0625, 7491.662109375, 5733.34765625, 9386.380859375, 4288.92822265625, 135065.984375, 64506.58984375, 3945.182861328125, 15008.318359375, 18706.38671875, 6878.1982421875, 3141.45166015625, 3455.057861328125, 3339.825927734375, 3689.65380859375, 12537.703125, 4394.41064453125, 27044.083984375, 14375.275390625, 4721.3447265625)</t>
  </si>
  <si>
    <t>(94.0650405883789, 95.0490493774414, 96.12628173828125, 97.0619888305664, 97.06487274169922, 99.04409790039062, 99.79637908935547, 100.04742431640625, 101.0596923828125, 102.8324966430664, 110.05992889404297, 110.7588119506836, 111.04403686523438, 112.04720306396484, 112.38475799560547, 113.05980682373047, 113.68437957763672, 115.07559204101562, 117.39310455322266, 122.06002807617188, 122.59444427490234, 123.04380798339844, 124.07581329345703, 125.0596923828125, 125.22630310058594, 126.05528259277344, 126.09122467041016, 127.07530212402344, 129.0909423828125, 132.4495849609375, 135.5321044921875, 140.0707550048828, 140.56893920898438, 141.05453491210938, 145.0858917236328, 146.0892333984375, 152.07061767578125, 153.0740509033203, 154.08616638183594, 154.2234344482422, 155.07017517089844, 155.07717895507812, 155.08941650390625, 155.52639770507812, 156.07363891601562, 157.08583068847656, 158.0891876220703, 168.10159301757812, 172.0966339111328, 182.08099365234375, 186.11231994628906, 187.0963897705078, 187.11570739746094, 189.11196899414062, 190.11524963378906, 196.09666442871094, 197.10043334960938, 205.10704040527344, 214.1069793701172, 218.1382598876953, 228.12277221679688, 229.12620544433594, 229.13983154296875, 230.1273956298828, 232.11785888671875, 246.1191864013672, 246.13331604003906, 247.1365966796875, 255.9384002685547, 260.1488952636719, 261.1523132324219, 262.1535339355469, 264.1433410644531, 264.7137756347656, 309.2335510253906, 328.1751708984375, 340.17462158203125, 345.1537170410156, 349.3519592285156, 370.182861328125, 371.1888732910156, 372.2015075683594, 380.8582458496094, 390.2119140625, 418.2070007324219, 420.22210693359375, 421.2257995605469, 422.23638916015625, 432.2222900390625, 433.2256774902344, 434.2308044433594, 436.2171936035156, 437.22137451171875, 452.24822998046875, 453.2507629394531, 464.2483825683594, 465.2515869140625, 572.7930297851562, 594.2769165039062, 604.2958374023438, 605.29931640625, 622.30517578125, 636.3218994140625, 637.32177734375, 640.3162231445312, 641.3252563476562, 649.317626953125, 650.3231811523438, 665.35009765625, 674.8443603515625, 675.3482666015625, 675.8510131835938, 681.3466796875, 781.935546875, 782.904541015625, 788.405029296875, 788.9085693359375, 789.4011840820312, 804.4164428710938, 804.9182739257812, 805.4188232421875, 853.4224243164062, 854.4210205078125, 881.4463500976562, 884.4517822265625, 884.9540405273438, 885.4429321289062, 886.4426879882812, 899.457275390625, 900.46630859375, 900.9705200195312, 903.9633178710938, 904.4628295898438, 920.4735717773438, 935.9841918945312, 936.4851684570312, 936.9996337890625, 1014.0187377929688, 1014.5270385742188, 1015.0263061523438, 1030.0380859375, 1030.541259765625, 1031.0361328125, 1089.543212890625, 1090.546142578125, 1100.55322265625, 1103.5576171875, 1104.55615234375, 1112.5548095703125, 1113.5650634765625, 1144.58447265625, 1145.58837890625, 1146.595458984375, 1305.6541748046875, 1316.656982421875, 1317.6658935546875, 1318.6640625, 1336.677001953125, 1348.684326171875, 1349.687255859375, 1350.6876220703125, 1508.75634765625, 1563.8018798828125, 1564.8018798828125, 1595.8194580078125, 1596.822509765625, 1607.82275390625, 1608.830810546875, 1612.8450927734375, 1767.9017333984375, 1768.91015625, 1799.9307861328125, 1800.93359375)</t>
  </si>
  <si>
    <t>(79291.90625, 130504.640625, 26044.78515625, 39545.4375, 443372.03125, 2341329.0, 27363.26953125, 110318.453125, 289699.125, 35632.94921875, 131983.828125, 31543.408203125, 752840.5625, 61463.05859375, 37509.31640625, 370482.84375, 31767.146484375, 47234.984375, 35436.125, 406920.5625, 31605.6796875, 204222.875, 52426.77734375, 368332.15625, 32945.11328125, 72421.5390625, 253782.90625, 179765.109375, 396086.6875, 37012.73828125, 41679.9609375, 306333.40625, 35056.77734375, 82286.078125, 1376133.875, 98892.8515625, 553369.5, 48714.2734375, 848180.0625, 41134.5625, 1108559.375, 54866.9453125, 65598.9453125, 37043.765625, 42828.84765625, 1300788.75, 136008.890625, 66324.71875, 177742.140625, 750572.1875, 671364.5, 62327.41796875, 55118.73046875, 1503439.75, 116902.3125, 3666944.75, 281102.75, 50526.91015625, 219833.21875, 67992.59375, 33490174.0, 3396556.5, 56192.17578125, 172790.328125, 541626.8125, 39046.37890625, 908652.75, 98735.3046875, 45885.70703125, 59072024.0, 6462292.5, 426644.8125, 377684.625, 50041.55078125, 71066.796875, 76112.9453125, 68832.6953125, 74150.71875, 53035.78515625, 224122.40625, 56533.484375, 280659.75, 53450.73828125, 255249.171875, 121379.28125, 1338823.5, 158535.453125, 71026.6640625, 5014699.0, 1030822.5625, 87430.484375, 240784.796875, 61114.3828125, 370630.375, 78946.53125, 1637171.25, 353458.875, 75790.5859375, 65698.21875, 955357.6875, 309923.28125, 69578.2890625, 325407.65625, 69261.3671875, 169013.703125, 66326.9921875, 109032.9609375, 55128.33984375, 79651.5078125, 141166.734375, 169924.8125, 78457.078125, 111623.3125, 58981.2734375, 108903.0234375, 252344.9375, 259396.5, 73755.484375, 2588341.0, 2995985.5, 834251.625, 212592.84375, 101681.3984375, 67212.2109375, 145960.328125, 96055.8515625, 587305.25, 249073.578125, 277303.0625, 248331.734375, 89339.84375, 114770.1640625, 62325.39453125, 82660.8359375, 270712.875, 338388.6875, 84471.8203125, 189122.859375, 284215.375, 100117.5703125, 245036.75, 667313.875, 246104.921875, 487295.03125, 283225.125, 78975.8046875, 163197.09375, 100530.3984375, 168909.09375, 94269.640625, 1938086.375, 1095276.75, 227787.75, 138661.40625, 359219.5, 233866.25, 62722.37890625, 87881.421875, 4219258.0, 3316603.5, 744980.9375, 60679.0, 146031.875, 73158.5546875, 120150.9765625, 129524.8828125, 161365.703125, 238275.65625, 62741.90234375, 227259.578125, 263258.59375, 140909.96875, 201688.828125)</t>
  </si>
  <si>
    <t>(90.04267883300781, 90.39440155029297, 90.65728759765625, 92.972412109375, 93.98401641845703, 94.06520080566406, 94.75948333740234, 95.04914855957031, 97.06458282470703, 99.04400634765625, 101.059814453125, 101.6844482421875, 107.51309204101562, 109.028076171875, 110.06007385253906, 111.0440673828125, 112.04747772216797, 113.05961608886719, 115.07546997070312, 116.50782775878906, 118.74259948730469, 120.49351501464844, 122.06009674072266, 123.04402923583984, 124.50070190429688, 125.05960083007812, 126.05559539794922, 126.09127807617188, 127.07007598876953, 127.07536315917969, 127.5875015258789, 128.07861328125, 129.0545654296875, 129.0912628173828, 131.28445434570312, 132.30726623535156, 140.0706329345703, 141.0544891357422, 141.07376098632812, 143.07008361816406, 144.24978637695312, 145.08590698242188, 150.98838806152344, 152.07034301757812, 152.42822265625, 154.08616638183594, 155.07025146484375, 156.07374572753906, 156.101806640625, 157.08580017089844, 172.09669494628906, 173.0810089111328, 179.06973266601562, 182.0810546875, 186.1123046875, 187.09640502929688, 188.0997772216797, 189.10272216796875, 189.1121063232422, 193.1608428955078, 196.0967254638672, 197.0830535888672, 197.1002197265625, 198.11253356933594, 201.05612182617188, 202.4688720703125, 205.10670471191406, 207.0655975341797, 211.10816955566406, 214.10733032226562, 215.11062622070312, 219.12252807617188, 220.1257781982422, 228.12283325195312, 229.12631225585938, 230.12782287597656, 239.0911865234375, 240.1223907470703, 246.13339233398438, 247.13710021972656, 260.14898681640625, 261.15240478515625, 262.1543273925781, 278.1599426269531, 284.1900329589844, 295.11663818359375, 304.07550048828125, 313.12750244140625, 316.2980651855469, 344.16973876953125, 345.15374755859375, 355.1864929199219, 359.1698913574219, 372.2013244628906, 374.18035888671875, 381.1732177734375, 390.17724609375, 390.21185302734375, 391.1952209472656, 395.18994140625, 400.1947326660156, 409.20587158203125, 418.2061767578125, 431.21820068359375, 432.2222900390625, 433.2256774902344, 434.19708251953125, 434.2301330566406, 436.2177734375, 437.2192687988281, 450.2331848144531, 464.2485046386719, 465.2520751953125, 466.2550048828125, 491.2597961425781, 496.2724914550781, 509.8209228515625, 510.1645202636719, 523.287353515625, 548.2955932617188, 549.2537841796875, 549.29833984375, 562.2728881835938, 563.1698608398438, 563.2354736328125, 564.2803344726562, 576.2645874023438, 582.2777099609375, 594.2732543945312, 622.30419921875, 636.322509765625, 637.31884765625, 640.3189086914062, 641.3192749023438, 649.3232421875, 654.3327026367188, 655.340576171875, 667.8370971679688, 668.347412109375, 681.346435546875, 756.380615234375, 760.8811645507812, 761.38330078125, 776.8963623046875, 777.3973999023438, 777.90087890625, 792.8731689453125, 840.4171752929688, 844.4169921875, 853.4171142578125, 869.9371948242188, 870.4452514648438, 870.9462280273438, 871.4288940429688, 872.4420776367188, 873.4501342773438, 879.4402465820312, 883.9484252929688, 885.4425659179688, 885.953369140625, 886.4548950195312, 886.956298828125, 887.4515991210938, 894.9569702148438, 895.4583129882812, 899.4595947265625, 899.958740234375, 900.4612426757812, 915.4725341796875, 915.9739379882812, 916.4740600585938, 961.5208129882812, 992.5044555664062, 993.0070190429688, 993.562255859375, 1008.511474609375, 1009.0161743164062, 1024.5333251953125, 1025.033203125, 1025.53125, 1048.5137939453125, 1049.5225830078125, 1057.5120849609375, 1058.5208740234375, 1075.5316162109375, 1076.5296630859375, 1089.5419921875, 1090.54541015625, 1091.5386962890625, 1103.557861328125, 1104.56494140625, 1144.585205078125, 1145.5875244140625, 1238.6068115234375, 1253.6181640625, 1261.6219482421875, 1262.617431640625, 1267.6376953125, 1275.629150390625, 1276.634765625, 1293.6414794921875, 1294.64501953125, 1295.647216796875, 1307.6575927734375, 1308.6605224609375, 1309.664306640625, 1325.667724609375, 1334.6702880859375, 1335.6685791015625, 1336.67138671875, 1366.69580078125, 1367.6982421875, 1479.7314453125, 1480.7315673828125, 1481.7337646484375, 1511.7584228515625, 1512.7607421875, 1513.7637939453125, 1520.7440185546875, 1538.752197265625, 1539.777099609375, 1552.7843017578125, 1552.9864501953125, 1553.7867431640625, 1554.792724609375, 1570.7890625, 1584.811279296875, 1585.8212890625, 1711.065673828125, 1724.8741455078125, 1757.8946533203125, 1788.91015625, 1789.9227294921875)</t>
  </si>
  <si>
    <t>(2134.795166015625, 2479.145751953125, 2872.80859375, 2394.72021484375, 2419.251708984375, 4931.29736328125, 2511.560546875, 37017.1875, 3194.177978515625, 21145.18359375, 14455.0908203125, 2860.70849609375, 2779.640380859375, 3352.543701171875, 6553.89501953125, 825130.25, 43623.66015625, 14715.4912109375, 4312.60009765625, 3681.42724609375, 3595.662841796875, 3237.876953125, 32918.82421875, 27890.96875, 3095.184814453125, 21959.0, 4720.18701171875, 21893.12109375, 5689.06494140625, 107489.09375, 3265.531005859375, 9537.328125, 4560.974609375, 3478.688232421875, 2823.32470703125, 3500.295654296875, 17930.5546875, 29519.880859375, 4386.1162109375, 16892.04296875, 3565.542724609375, 36032.078125, 4304.3876953125, 25775.837890625, 3904.839111328125, 128676.5625, 288468.5, 16480.91796875, 4370.26171875, 14478.154296875, 17716.458984375, 22594.115234375, 5342.123046875, 8303.5166015625, 54001.046875, 1585995.5, 118068.328125, 7890.46533203125, 32454.3359375, 4851.11328125, 742354.6875, 4285.19140625, 54554.24609375, 11560.04296875, 5739.40625, 4770.626953125, 14276.7978515625, 4630.212890625, 4852.8466796875, 69903.8671875, 10275.578125, 114553.6484375, 6292.01708984375, 3571830.0, 407909.09375, 14431.828125, 10696.478515625, 9547.88671875, 194870.1875, 24550.73046875, 4443679.5, 494668.875, 29556.11328125, 8466.205078125, 5550.3046875, 4752.90478515625, 4693.52978515625, 7675.77294921875, 5237.52734375, 29687.70703125, 13851.2236328125, 7669.306640625, 11085.0556640625, 23555.212890625, 7316.626953125, 5969.43017578125, 6574.3701171875, 22947.333984375, 13255.970703125, 9380.931640625, 8045.95751953125, 10149.6650390625, 27446.9921875, 14664.65625, 612630.0, 139631.96875, 6494.951171875, 15015.447265625, 33598.98046875, 6942.12255859375, 14803.287109375, 539213.0, 117707.7734375, 12644.9990234375, 7756.88623046875, 6351.50537109375, 6019.8330078125, 6328.00439453125, 11668.7080078125, 5710.2431640625, 14630.5419921875, 6213.03515625, 13326.396484375, 7173.06005859375, 42729.87890625, 5781.13525390625, 6437.43115234375, 10609.5537109375, 7430.74609375, 6211.498046875, 12616.26171875, 7029.9365234375, 22706.830078125, 6377.96484375, 13117.74609375, 14204.453125, 6076.9443359375, 11223.3857421875, 28676.2734375, 29197.7890625, 10798.77734375, 17728.8515625, 13951.2666015625, 106698.28125, 138429.71875, 25764.970703125, 8446.6298828125, 8867.2060546875, 15453.6015625, 9434.677734375, 21860.146484375, 39628.984375, 23131.13671875, 17014.68359375, 15382.3818359375, 6072.7294921875, 5564.22119140625, 8326.3173828125, 37915.89453125, 370375.84375, 519625.25, 155119.8125, 11200.310546875, 8042.5537109375, 15828.55859375, 21875.21484375, 13938.05078125, 7281.0087890625, 50071.60546875, 69977.8984375, 23285.8359375, 15239.2646484375, 17122.388671875, 9760.8916015625, 27233.365234375, 8342.921875, 19940.787109375, 169670.515625, 157415.203125, 129345.328125, 17288.90625, 9003.6650390625, 16648.515625, 13275.017578125, 28702.845703125, 18962.322265625, 120303.9765625, 83119.46875, 14733.7861328125, 12060.75390625, 8714.2919921875, 49476.10546875, 19126.873046875, 6250.69482421875, 8950.0078125, 13774.34375, 16220.6884765625, 6277.84033203125, 26210.845703125, 24158.72265625, 217074.390625, 154622.015625, 45098.6953125, 276208.5625, 189257.71875, 47073.47265625, 7582.79638671875, 29687.787109375, 34953.4765625, 8547.4697265625, 12051.09375, 13065.029296875, 34944.29296875, 24571.12890625, 9535.337890625, 440958.0, 390884.90625, 113935.265625, 11053.498046875, 7699.41357421875, 7852.95361328125, 120599.3125, 4001.98486328125, 137063.390625, 33587.5078125, 8332.677734375, 22242.7109375, 25612.98828125, 6240.90576171875, 6135.18701171875, 7515.8330078125, 20322.900390625, 24271.22265625)</t>
  </si>
  <si>
    <t>(90.77462005615234, 94.06509399414062, 95.04910278320312, 96.9075927734375, 97.06475830078125, 98.27135467529297, 99.0440902709961, 99.08033752441406, 99.77130889892578, 100.0472640991211, 101.05964660644531, 103.30050659179688, 107.71504211425781, 108.11288452148438, 108.22750091552734, 110.06015014648438, 111.039794921875, 111.04401397705078, 112.04722595214844, 113.05965423583984, 115.07540893554688, 115.59323120117188, 118.47504425048828, 122.05985260009766, 123.0439682006836, 125.05968475341797, 126.09123229980469, 127.0755615234375, 129.0910186767578, 135.4466094970703, 140.07069396972656, 141.05470275878906, 143.07012939453125, 144.06610107421875, 145.08590698242188, 146.08909606933594, 149.0561065673828, 152.0705108642578, 153.86521911621094, 154.08621215820312, 155.07015991210938, 155.0891876220703, 156.0738525390625, 157.0857391357422, 158.08920288085938, 168.10195922851562, 169.04957580566406, 172.09674072265625, 173.0807647705078, 182.08099365234375, 184.09713745117188, 186.11228942871094, 187.08737182617188, 187.09637451171875, 188.099609375, 189.10244750976562, 189.1121063232422, 190.11532592773438, 196.09666442871094, 197.10020446777344, 205.10708618164062, 205.5294189453125, 214.10711669921875, 219.1224822998047, 224.09266662597656, 226.10726928710938, 228.12278747558594, 229.12631225585938, 230.1285858154297, 232.11782836914062, 238.10720825195312, 239.09146118164062, 240.12294006347656, 246.13339233398438, 247.136962890625, 254.13844299316406, 256.1170349121094, 258.1330261230469, 260.14892578125, 261.15234375, 262.1534118652344, 264.1432189941406, 271.11663818359375, 303.1439208984375, 312.1443786621094, 313.104736328125, 344.1695556640625, 345.154052734375, 345.1747131347656, 347.0654602050781, 370.1862487792969, 372.2032775878906, 374.1811828613281, 376.1958923339844, 390.21209716796875, 402.2115173339844, 418.2062683105469, 419.2103271484375, 420.2226867675781, 421.22637939453125, 432.2222595214844, 433.2254638671875, 434.2315368652344, 436.21728515625, 450.2328186035156, 451.237060546875, 452.2478332519531, 464.24847412109375, 465.2528991699219, 485.2298278808594, 488.27362060546875, 499.2425537109375, 509.2762756347656, 550.2705078125, 554.2745971679688, 564.2900390625, 565.2914428710938, 566.2431640625, 566.291015625, 567.2907104492188, 568.2601928710938, 569.2620849609375, 586.2752685546875, 587.27392578125, 590.2766723632812, 600.2877807617188, 604.2954711914062, 605.301513671875, 606.3065795898438, 617.3548583984375, 618.3599853515625, 622.305419921875, 623.3104248046875, 636.3215942382812, 637.32421875, 640.3160400390625, 641.3169555664062, 649.3219604492188, 651.35205078125, 652.358154296875, 654.3346557617188, 655.3316040039062, 665.3506469726562, 668.3504028320312, 681.3436889648438, 682.2388305664062, 697.3704223632812, 709.3717651367188, 739.346923828125, 750.344482421875, 750.8466796875, 751.3518676757812, 766.4174194335938, 767.4247436523438, 774.3936767578125, 782.4039306640625, 782.9052124023438, 788.4038696289062, 788.9056396484375, 798.9188232421875, 804.416748046875, 804.9183349609375, 805.4203491210938, 825.4282836914062, 836.0621948242188, 853.4176635742188, 854.421875, 862.4183349609375, 862.9191284179688, 863.4234008789062, 883.4463500976562, 884.44873046875, 885.446044921875, 886.4453735351562, 899.4549560546875, 900.4622802734375, 900.9564208984375, 901.42626953125, 904.4617919921875, 935.9838256835938, 936.4859008789062, 936.9849853515625, 998.50439453125, 1014.0166015625, 1014.5253295898438, 1015.0293579101562, 1019.5150146484375, 1022.0103149414062, 1029.54541015625, 1030.0279541015625, 1030.1639404296875, 1030.5382080078125, 1030.827392578125, 1031.037841796875, 1031.5052490234375, 1057.5162353515625, 1089.5443115234375, 1090.5484619140625, 1091.5517578125, 1103.56103515625, 1104.5728759765625, 1112.56103515625, 1113.565185546875, 1144.585693359375, 1145.5877685546875, 1146.5877685546875, 1304.6585693359375, 1305.6575927734375, 1316.6624755859375, 1317.6617431640625, 1318.646728515625, 1336.6737060546875, 1348.683837890625, 1349.6871337890625, 1350.6917724609375, 1352.69140625, 1382.126220703125, 1508.7545166015625, 1509.75146484375, 1563.793701171875, 1564.803466796875, 1595.8270263671875, 1596.830810546875, 1607.8150634765625, 1608.8309326171875, 1609.8277587890625, 1611.82666015625, 1612.8272705078125, 1767.89990234375, 1768.9111328125, 1769.9083251953125, 1799.927490234375, 1800.9312744140625, 1801.943359375)</t>
  </si>
  <si>
    <t>(1359.935302734375, 3061.7216796875, 9156.626953125, 2122.586181640625, 19475.10546875, 1712.7030029296875, 108933.5, 1921.89306640625, 1489.208984375, 4422.83251953125, 17451.580078125, 1773.073486328125, 1809.48583984375, 2092.210205078125, 1713.354736328125, 6690.03564453125, 5897.40625, 97372.125, 4909.900390625, 17980.333984375, 3330.496826171875, 1875.885498046875, 1814.0172119140625, 14215.052734375, 7404.498046875, 16218.314453125, 10841.8359375, 15204.5166015625, 17267.548828125, 2055.974609375, 13297.1484375, 13325.541015625, 6775.888671875, 2735.646728515625, 62820.9453125, 4057.461181640625, 2408.584716796875, 23454.5078125, 2286.223876953125, 42704.6015625, 84298.6640625, 3862.3955078125, 6135.6630859375, 59614.88671875, 5881.80078125, 2949.07470703125, 2856.335693359375, 7906.21533203125, 13495.0078125, 49354.83984375, 3701.3974609375, 27840.65234375, 5964.029296875, 84074.7890625, 6523.2197265625, 4144.755859375, 68785.78125, 6539.740234375, 176301.5, 20106.18359375, 4742.75048828125, 2987.228759765625, 32237.0078125, 7487.787109375, 3170.352294921875, 3683.846435546875, 1409947.875, 145991.65625, 8279.8583984375, 23532.939453125, 2970.9326171875, 9532.4443359375, 5017.443359375, 95854.5625, 8753.666015625, 3709.501708984375, 3299.56494140625, 3554.174560546875, 2593020.75, 299379.78125, 20407.42578125, 18328.79296875, 3048.556396484375, 4665.66455078125, 8761.0791015625, 6153.99560546875, 32952.12109375, 7414.51318359375, 6357.80419921875, 2938.699951171875, 8707.423828125, 13717.4423828125, 10530.0478515625, 9860.22265625, 9173.3564453125, 4808.96923828125, 22652.0859375, 5289.611328125, 56112.3515625, 11305.599609375, 234984.421875, 50699.9296875, 7727.0087890625, 14641.8837890625, 78121.8671875, 6464.228515625, 17993.017578125, 88192.203125, 17487.322265625, 6834.13818359375, 3876.009521484375, 3210.358154296875, 3634.204345703125, 3910.976806640625, 3561.722412109375, 7341.66162109375, 10781.3017578125, 3758.28515625, 15125.2744140625, 8756.375, 63801.03125, 3609.412841796875, 7814.9228515625, 4005.814453125, 3727.36328125, 9417.470703125, 40741.7578125, 11582.0263671875, 3356.5400390625, 4653.94970703125, 4904.70849609375, 5249.25830078125, 3940.859619140625, 18876.07421875, 6108.57080078125, 12332.7275390625, 3789.08935546875, 4068.997802734375, 8672.4296875, 4685.138671875, 5907.40576171875, 3898.91943359375, 5454.533203125, 3488.613037109375, 6906.79150390625, 3617.05029296875, 3974.416748046875, 3353.230712890625, 3503.425537109375, 11863.087890625, 9033.548828125, 3788.148681640625, 3870.285888671875, 4026.22314453125, 4836.21484375, 4898.2705078125, 4087.957275390625, 10098.365234375, 8856.4482421875, 3769.11376953125, 110049.6328125, 143508.71875, 45592.0078125, 4466.494140625, 3946.006103515625, 9665.833984375, 6708.10205078125, 7475.20947265625, 8129.74560546875, 4572.54833984375, 6625.98388671875, 4000.540771484375, 27582.810546875, 11449.7919921875, 12855.9873046875, 14430.6337890625, 6045.53125, 3841.831787109375, 4579.86572265625, 7590.37890625, 11290.4345703125, 5138.96337890625, 8658.3837890625, 18332.025390625, 23570.388671875, 7561.7353515625, 4016.9765625, 8095.916015625, 21259.673828125, 24012.037109375, 6480.7939453125, 108355.5, 6237.05615234375, 22198.8828125, 13276.41015625, 6211.14501953125, 24894.9765625, 12885.640625, 5082.5693359375, 8348.5283203125, 5336.82080078125, 11859.9453125, 3641.55322265625, 96078.8828125, 61312.80859375, 8740.3056640625, 4169.42578125, 5029.86962890625, 13046.5810546875, 17205.431640625, 4461.0712890625, 4014.561767578125, 230969.53125, 187835.4375, 45984.28125, 4476.66748046875, 3690.156005859375, 4442.41552734375, 6722.52490234375, 8071.45361328125, 5459.95703125, 6088.7509765625, 8231.1005859375, 9684.3955078125, 10242.841796875, 4972.7236328125, 7212.01806640625, 6777.0439453125, 10258.0078125, 12401.3173828125, 5536.49853515625, 9915.4970703125, 10952.4873046875, 4573.87451171875)</t>
  </si>
  <si>
    <t>(92.00362396240234, 92.06841278076172, 95.04916381835938, 97.06471252441406, 97.10782623291016, 98.31687927246094, 98.32365417480469, 99.04121398925781, 99.04405975341797, 101.05961608886719, 101.43697357177734, 102.50657653808594, 103.43830108642578, 103.48036193847656, 104.01692962646484, 104.24462127685547, 111.03972625732422, 111.04399108886719, 111.04833221435547, 112.04727172851562, 112.80916595458984, 113.05972290039062, 116.74708557128906, 117.27523803710938, 118.90684509277344, 119.40319061279297, 122.05982971191406, 125.05966186523438, 127.0750503540039, 128.9326171875, 129.09095764160156, 132.44940185546875, 138.80471801757812, 140.07054138183594, 141.05450439453125, 143.0698699951172, 145.0859832763672, 146.83164978027344, 154.08619689941406, 155.0701446533203, 157.08538818359375, 169.04931640625, 173.08062744140625, 173.27301025390625, 182.08090209960938, 187.0962677001953, 188.09938049316406, 189.11207580566406, 196.09661865234375, 197.099853515625, 203.2870635986328, 205.10694885253906, 206.08094787597656, 210.0758819580078, 214.1074676513672, 216.73809814453125, 219.12225341796875, 224.0910186767578, 228.1226806640625, 238.10702514648438, 239.0912322998047, 240.09481811523438, 246.13311767578125, 247.13636779785156, 248.09109497070312, 256.11810302734375, 259.5723876953125, 260.1488342285156, 261.15234375, 270.1336975097656, 280.11676025390625, 303.1428527832031, 312.14349365234375, 313.12762451171875, 313.147216796875, 315.5119934082031, 330.1529235839844, 341.1466979980469, 342.1527404785156, 344.1697692871094, 345.1502685546875, 345.17327880859375, 345.7249755859375, 346.1766357421875, 360.16668701171875, 374.1793212890625, 375.1859130859375, 376.19598388671875, 377.20013427734375, 386.1804504394531, 388.8870544433594, 404.19073486328125, 406.2043151855469, 418.2060852050781, 419.2101745605469, 420.2230529785156, 421.2261657714844, 432.22222900390625, 433.2254333496094, 434.2344665527344, 436.21624755859375, 450.2323913574219, 451.23651123046875, 464.2481994628906, 465.25238037109375, 466.25018310546875, 566.2808227539062, 597.0264892578125, 622.3046875, 623.3074340820312, 634.3775024414062, 636.3218383789062, 637.3245849609375, 638.335693359375, 640.3152465820312, 641.3209228515625, 648.2880249023438, 654.3328247070312, 663.3323974609375, 668.3461303710938, 752.3670043945312, 784.3936157226562, 793.3963623046875, 794.400634765625, 812.3893432617188, 825.4228515625, 826.4215087890625, 828.4182739257812, 829.42529296875, 844.41748046875, 845.413818359375, 899.4622192382812, 900.4217529296875, 900.9248657226562, 901.427490234375, 997.4951782226562, 998.4966430664062, 1015.5037231445312, 1057.509521484375, 1059.52392578125, 1066.53369140625, 1067.043701171875, 1067.53759765625, 1089.0618896484375, 1089.539306640625, 1090.5430908203125, 1103.5526123046875, 1104.5618896484375, 1131.5697021484375, 1153.5809326171875, 1154.0823974609375, 1154.582275390625, 1203.6058349609375, 1267.6495361328125, 1276.14697265625, 1276.646484375, 1277.142822265625, 1284.6390380859375, 1291.640625, 1292.1422119140625, 1292.6529541015625, 1292.9879150390625, 1293.154541015625, 1293.6326904296875, 1307.6512451171875, 1334.661376953125, 1348.6778564453125, 1522.7679443359375, 1523.7728271484375, 1552.7716064453125, 1553.7900390625, 1802.965087890625, 1803.2706298828125)</t>
  </si>
  <si>
    <t>(1309.9366455078125, 1469.4915771484375, 1966.6910400390625, 4024.7060546875, 1660.7415771484375, 1465.93994140625, 1498.131103515625, 2153.03955078125, 22008.12890625, 4512.10009765625, 1619.826904296875, 1567.8580322265625, 1540.3985595703125, 1317.581787109375, 1204.354736328125, 1665.7828369140625, 4725.552734375, 76021.25, 3800.2421875, 3346.717529296875, 1596.3291015625, 4803.75732421875, 1714.9012451171875, 1921.719482421875, 1822.357421875, 1721.4361572265625, 2935.643798828125, 5965.17333984375, 4517.4853515625, 2174.111328125, 2550.47705078125, 1869.7735595703125, 1869.92236328125, 4777.12548828125, 7596.11767578125, 2780.159912109375, 14150.427734375, 2154.42529296875, 12760.1220703125, 35128.6796875, 12688.7255859375, 2885.257080078125, 5604.484375, 2812.80126953125, 8035.67431640625, 48312.89453125, 5907.86328125, 12615.4306640625, 108816.1171875, 9254.7734375, 2684.53564453125, 5975.15234375, 6480.10888671875, 4833.89013671875, 19808.095703125, 3362.536865234375, 5843.80810546875, 14840.3662109375, 42320.87890625, 10487.9775390625, 12647.34765625, 2890.955078125, 48380.765625, 4532.09130859375, 3838.3271484375, 6750.35693359375, 2545.4697265625, 147593.15625, 18244.251953125, 8025.51708984375, 4397.33203125, 8830.37109375, 68324.2578125, 5613.0966796875, 9927.7197265625, 2839.42431640625, 3267.079833984375, 2768.13916015625, 4144.8974609375, 582512.8125, 4698.37744140625, 80454.4609375, 2483.0654296875, 4351.3671875, 3840.03466796875, 19062.83984375, 2891.34765625, 113016.890625, 17929.828125, 3104.802490234375, 2660.22265625, 7180.244140625, 5558.740234375, 19136.328125, 3876.850341796875, 28284.953125, 4587.14697265625, 85280.90625, 17423.552734375, 4144.46630859375, 14209.0771484375, 28973.6640625, 5882.73779296875, 141969.671875, 27137.958984375, 3332.341796875, 5320.26513671875, 2842.523193359375, 19823.556640625, 3191.088134765625, 3046.2373046875, 17394.419921875, 5294.87060546875, 5399.3076171875, 12396.9287109375, 4966.6982421875, 3161.197265625, 6682.5703125, 3309.789306640625, 9580.3349609375, 9992.0498046875, 7302.25244140625, 32292.470703125, 14361.560546875, 4884.00048828125, 28996.57421875, 8196.0771484375, 8544.9921875, 3769.13427734375, 5503.818359375, 3838.614990234375, 4827.4267578125, 9863.5205078125, 10896.09765625, 4059.623046875, 34335.85546875, 12679.5439453125, 5220.71533203125, 3189.85107421875, 4228.17724609375, 7972.2314453125, 13160.134765625, 9752.8935546875, 3817.37451171875, 8308.1533203125, 3324.24462890625, 24930.82421875, 14990.94140625, 2893.12890625, 6355.861328125, 6951.76318359375, 4726.10986328125, 6068.46875, 3644.424560546875, 8440.396484375, 8267.0810546875, 7103.1357421875, 3508.735595703125, 11307.8603515625, 8354.353515625, 50391.7734375, 4728.890625, 17383.10546875, 17213.615234375, 9437.1650390625, 4510.1005859375, 3751.688232421875, 8781.4892578125, 4868.0810546875, 8236.51953125, 6165.3984375, 3559.627197265625, 3838.44384765625)</t>
  </si>
  <si>
    <t>(90.81977844238281, 91.9034652709961, 91.96221923828125, 94.7868423461914, 95.04914093017578, 95.22006225585938, 97.06481170654297, 98.05972290039062, 99.04408264160156, 100.04721069335938, 101.05967712402344, 101.27338409423828, 101.68842315673828, 102.63907623291016, 106.0220718383789, 106.57787322998047, 107.21473693847656, 109.02848815917969, 111.04402160644531, 111.63745880126953, 112.04731750488281, 113.05960083007812, 115.0753402709961, 122.0601577758789, 123.04351043701172, 125.05956268310547, 127.07532501220703, 129.09085083007812, 133.33355712890625, 138.0915069580078, 140.07054138183594, 140.27000427246094, 141.05450439453125, 143.07017517089844, 144.1914520263672, 145.0792236328125, 145.08583068847656, 146.05987548828125, 146.08926391601562, 149.08934020996094, 152.0706024169922, 154.08628845214844, 155.07017517089844, 156.07301330566406, 156.10182189941406, 157.0858154296875, 158.08934020996094, 161.11329650878906, 173.0807342529297, 178.08621215820312, 179.07029724121094, 182.08108520507812, 183.0648956298828, 183.083740234375, 186.11219787597656, 187.0963592529297, 188.09970092773438, 189.10220336914062, 189.11203002929688, 190.1154022216797, 192.6162109375, 196.09666442871094, 197.1001739501953, 198.11212158203125, 200.09156799316406, 201.22134399414062, 205.1068115234375, 205.94383239746094, 206.08108520507812, 207.0651092529297, 207.0835723876953, 207.717529296875, 210.0758819580078, 210.11337280273438, 211.45611572265625, 212.09117126464844, 212.12770080566406, 214.1072235107422, 215.11056518554688, 219.12210083007812, 220.09683227539062, 224.091552734375, 224.12753295898438, 225.09535217285156, 226.10694885253906, 228.1227264404297, 229.12619018554688, 231.1119384765625, 232.1175537109375, 232.6638946533203, 238.107177734375, 239.09078979492188, 239.1111602783203, 240.12266540527344, 242.10183715820312, 246.13328552246094, 247.13694763183594, 248.09133911132812, 254.13809204101562, 256.1172790527344, 260.14886474609375, 261.1526794433594, 270.0978088378906, 270.13330078125, 271.135986328125, 273.14453125, 278.1595153808594, 280.1177062988281, 284.11236572265625, 292.16455078125, 300.1432189941406, 303.14263916015625, 304.1172180175781, 307.3414001464844, 309.62127685546875, 311.1601257324219, 312.1437683105469, 313.1471862792969, 314.14990234375, 322.1390075683594, 322.1752014160156, 325.1743469238281, 329.1172790527344, 335.1566467285156, 339.15545654296875, 339.19134521484375, 341.16986083984375, 344.1698303222656, 345.1732482910156, 346.1752624511719, 354.16583251953125, 357.14593505859375, 358.1861267089844, 369.2019348144531, 371.18109130859375, 373.21270751953125, 374.17950439453125, 376.1960754394531, 377.1997985839844, 378.20166015625, 381.1665954589844, 381.199951171875, 382.1978454589844, 382.231689453125, 386.17950439453125, 394.23291015625, 396.17974853515625, 397.19964599609375, 397.702392578125, 401.20379638671875, 402.2125244140625, 404.1905517578125, 412.2427062988281, 413.1886901855469, 413.2164306640625, 414.2215881347656, 418.2066345214844, 419.2096252441406, 420.2220764160156, 421.2266540527344, 422.2325134277344, 424.20440673828125, 426.1892395019531, 426.2200012207031, 427.17120361328125, 427.2034606933594, 432.22216796875, 433.2255554199219, 434.23095703125, 435.24530029296875, 436.2154846191406, 438.2232360839844, 440.20068359375, 441.18310546875, 444.1798095703125, 445.23126220703125, 447.24774169921875, 450.1888122558594, 450.2324523925781, 451.2359619140625, 452.2471618652344, 453.2516174316406, 454.2178039550781, 455.220458984375, 463.2427673339844, 464.2483215332031, 465.2522888183594, 466.2212829589844, 466.2530822753906, 468.2333984375, 469.2359924316406, 476.2589416503906, 481.2318420410156, 481.2667236328125, 482.2127685546875, 482.2472839355469, 485.2257995605469, 486.228515625, 493.2668151855469, 494.24945068359375, 496.22857666015625, 496.26568603515625, 499.2517395019531, 501.1997985839844, 505.30682373046875, 510.24359130859375, 511.2392883300781, 512.2232666015625, 514.2567749023438, 525.2540893554688, 526.2744140625, 528.2556762695312, 530.2489013671875, 537.2902221679688, 541.2305908203125, 544.2661743164062, 549.2196655273438, 551.3070068359375, 553.2920532226562, 556.2484130859375, 566.27685546875, 567.294921875, 569.280029296875, 570.2667846679688, 571.2830200195312, 573.2571411132812, 580.2947387695312, 585.2841796875, 587.2694702148438, 592.2948608398438, 594.3099975585938, 597.4392700195312, 604.2952880859375, 606.3138427734375, 608.2916870117188, 609.2946166992188, 622.30517578125, 622.3592529296875, 623.3079833984375, 624.3165893554688, 625.306884765625, 630.8099365234375, 631.285400390625, 636.3219604492188, 637.32421875, 638.3378295898438, 639.2761840820312, 639.33935546875, 640.3161010742188, 640.369140625, 641.316162109375, 642.3157958984375, 642.3682861328125, 653.3101196289062, 654.3334350585938, 654.832763671875, 655.3373413085938, 656.33935546875, 659.3291625976562, 660.3255004882812, 668.3457641601562, 669.2904052734375, 670.3125, 683.3502197265625, 684.3466796875, 685.3248901367188, 686.3516845703125, 695.3572387695312, 697.3706665039062, 701.3452758789062, 702.3403930664062, 719.393310546875, 728.3500366210938, 769.8831787109375, 770.3821411132812, 776.8948974609375, 777.395263671875, 777.8985595703125, 779.3797607421875, 793.3959350585938, 794.3989868164062, 795.3976440429688, 807.770263671875, 812.3870849609375, 813.3968505859375, 825.421875, 826.423583984375, 827.433837890625, 828.4209594726562, 829.4261474609375, 830.46923828125, 834.912353515625, 835.418701171875, 844.415283203125, 845.4173583984375, 845.9056396484375, 846.4325561523438, 858.4283447265625, 859.43017578125, 861.4534912109375, 861.90087890625, 862.0748291015625, 862.4522094726562, 862.915771484375, 871.9353637695312, 872.443359375, 872.9423828125, 878.9447631835938, 879.4507446289062, 879.9562377929688, 880.4511108398438, 885.4417724609375, 899.4550170898438, 900.4586791992188, 950.4819946289062, 957.480712890625, 957.9819946289062, 958.4826049804688, 958.9889526367188, 965.9894409179688, 966.4902954101562, 966.990234375, 994.4970092773438, 997.4959106445312, 998.4926147460938, 999.5032348632812, 1000.4893188476562, 1001.3209838867188, 1002.508056640625, 1010.5092163085938, 1011.0136108398438, 1015.5042114257812, 1016.5097045898438, 1029.5234375, 1032.521728515625, 1043.5054931640625, 1057.51318359375, 1058.51904296875, 1059.526611328125, 1060.0252685546875, 1060.53662109375, 1061.0264892578125, 1066.53515625, 1067.0377197265625, 1067.537109375, 1071.52685546875, 1072.541748046875, 1073.0286865234375, 1088.5526123046875, 1089.053466796875, 1089.5457763671875, 1090.547607421875, 1091.5465087890625, 1103.5572509765625, 1104.5633544921875, 1105.069091796875, 1105.565185546875, 1117.558837890625, 1167.5914306640625, 1168.096923828125, 1182.090087890625, 1182.5947265625, 1183.0946044921875, 1183.580078125, 1263.6209716796875, 1275.6201171875, 1293.64306640625, 1294.6422119140625, 1295.6513671875, 1307.66064453125, 1308.6624755859375, 1309.6619873046875, 1334.6690673828125, 1335.6663818359375, 1336.67236328125, 1381.6962890625, 1508.7425537109375, 1509.75146484375, 1522.7701416015625, 1523.7733154296875, 1538.7642822265625, 1539.7589111328125, 1552.789306640625, 1553.7822265625, 1554.780029296875, 1579.7821044921875, 1668.8280029296875, 1669.8304443359375, 1712.850341796875, 1727.880615234375, 1742.875244140625, 1744.8900146484375, 1756.8922119140625)</t>
  </si>
  <si>
    <t>(1515.773681640625, 1255.580322265625, 1272.96875, 1335.2755126953125, 5858.68115234375, 1302.4500732421875, 21485.748046875, 1497.3614501953125, 132872.140625, 6168.52099609375, 16734.4609375, 1806.4853515625, 1493.2982177734375, 1461.98779296875, 1489.8641357421875, 1579.8472900390625, 1609.900634765625, 2319.737548828125, 238995.5625, 1735.949951171875, 14274.0361328125, 22317.470703125, 5110.96728515625, 3880.03076171875, 2505.903564453125, 18350.49609375, 15497.4248046875, 17745.74609375, 1833.5904541015625, 4021.97412109375, 13442.4541015625, 2260.2763671875, 24646.166015625, 8334.7587890625, 2110.4560546875, 3192.295166015625, 65687.96875, 4758.6455078125, 3432.91357421875, 2297.146240234375, 8635.203125, 22567.78515625, 80591.6640625, 3833.17041015625, 5069.81201171875, 65735.484375, 7052.208984375, 2182.3330078125, 17395.130859375, 4941.4677734375, 3044.383544921875, 28693.033203125, 3117.154541015625, 2694.67822265625, 3503.068603515625, 166841.890625, 9406.818359375, 4140.1552734375, 80844.015625, 5412.57958984375, 2332.39794921875, 302361.46875, 24324.580078125, 6943.84033203125, 7015.59521484375, 2543.809814453125, 13582.05078125, 2598.8125, 30759.19140625, 7139.88916015625, 3575.906494140625, 2531.85302734375, 11635.443359375, 2439.54345703125, 2497.436767578125, 5680.19482421875, 2727.502685546875, 77248.2890625, 3307.263671875, 8506.376953125, 6236.75, 39329.32421875, 8402.2861328125, 3896.957763671875, 3753.98095703125, 104624.3359375, 9723.5615234375, 2548.131103515625, 11363.2099609375, 2514.537109375, 38063.296875, 8966.263671875, 3187.549560546875, 22001.154296875, 2935.045654296875, 225765.046875, 23530.15625, 13521.73046875, 5389.45263671875, 18521.984375, 197087.421875, 24032.4609375, 4271.62109375, 27910.47265625, 3237.227783203125, 3708.218505859375, 10551.244140625, 24951.037109375, 4475.27001953125, 3960.478759765625, 3015.3896484375, 4767.916015625, 4315.93017578125, 3897.16259765625, 2767.14404296875, 17191.53515625, 198775.640625, 33448.7734375, 2927.200439453125, 4144.46337890625, 5707.58154296875, 7562.7958984375, 3144.70166015625, 3787.166748046875, 5064.05224609375, 3143.8251953125, 3259.80615234375, 1369794.5, 216595.296875, 19055.6328125, 5716.69482421875, 2841.846923828125, 3873.231689453125, 17990.353515625, 7750.16748046875, 3241.60595703125, 8502.4150390625, 268004.40625, 43710.41015625, 7090.43310546875, 3170.789794921875, 4362.43603515625, 2817.733642578125, 2832.992431640625, 6883.7841796875, 7439.53955078125, 13187.55859375, 5450.529296875, 3348.344970703125, 3593.7314453125, 4880.4990234375, 13555.548828125, 3043.411376953125, 4017.59716796875, 5468.712890625, 4011.281005859375, 140745.171875, 24937.662109375, 93431.25, 14090.9990234375, 3078.89111328125, 3347.659912109375, 4403.91064453125, 4302.3203125, 3558.855712890625, 6614.76416015625, 296933.6875, 57411.15234375, 13751.970703125, 23786.83984375, 14774.2900390625, 3174.220458984375, 8652.1552734375, 4758.51171875, 5108.34765625, 3169.87841796875, 3276.3017578125, 15611.6259765625, 134648.6875, 23220.98828125, 16424.244140625, 3244.280029296875, 16982.015625, 7534.72509765625, 10643.8115234375, 272634.59375, 60268.421875, 3539.324462890625, 11837.72265625, 20064.478515625, 5456.15185546875, 11337.9921875, 5485.8232421875, 5575.95458984375, 6761.1513671875, 8101.32080078125, 25903.5703125, 10526.73828125, 3086.99658203125, 10311.9111328125, 21739.517578125, 4444.46142578125, 5847.564453125, 3161.990966796875, 3485.843505859375, 18221.755859375, 9802.6337890625, 6043.1826171875, 4088.316162109375, 10023.451171875, 11437.8642578125, 6054.69970703125, 4224.0556640625, 8369.798828125, 5607.89306640625, 3185.97412109375, 3808.48193359375, 5066.76708984375, 3077.835205078125, 4315.92138671875, 5769.1904296875, 3210.68212890625, 3960.1875, 7387.55615234375, 5442.42919921875, 4680.029296875, 11752.7958984375, 2954.045166015625, 4762.7666015625, 9013.5849609375, 3341.353759765625, 3829.261474609375, 3365.946044921875, 6046.1962890625, 8861.048828125, 3571.88720703125, 81021.875, 4240.23193359375, 21262.6875, 7191.30322265625, 4239.373046875, 4917.49755859375, 3622.4326171875, 33750.86328125, 11196.5615234375, 25811.189453125, 3391.3154296875, 14229.8486328125, 51025.4140625, 4802.83837890625, 15017.4990234375, 3414.364501953125, 8951.0458984375, 3120.386474609375, 23063.439453125, 6932.56201171875, 9110.0458984375, 5344.18896484375, 16443.34765625, 7454.8076171875, 11046.419921875, 5764.8759765625, 2918.952880859375, 8832.890625, 4040.835205078125, 12613.1767578125, 5862.79248046875, 4497.4443359375, 4180.54736328125, 4149.83349609375, 4161.89453125, 5123.25341796875, 8124.76806640625, 4317.35302734375, 5668.6552734375, 8147.603515625, 7636.619140625, 7440.4306640625, 3622.7490234375, 113297.609375, 45523.328125, 7785.31884765625, 3575.33154296875, 20415.22265625, 11453.1025390625, 82432.4140625, 28781.353515625, 6601.7431640625, 6229.35302734375, 5008.91455078125, 15318.748046875, 4335.21533203125, 6808.80078125, 57184.39453125, 28334.333984375, 3258.380859375, 7600.99072265625, 3382.20751953125, 3024.280029296875, 229706.78125, 18236.931640625, 4715.97998046875, 277469.4375, 12686.603515625, 7968.68798828125, 6465.56640625, 4357.740234375, 33107.3515625, 27786.119140625, 13351.1767578125, 7919.0244140625, 9285.0888671875, 14472.7080078125, 5197.5537109375, 4215.25390625, 6266.5009765625, 8272.873046875, 7041.7939453125, 3219.44189453125, 14484.67578125, 20491.142578125, 5621.69091796875, 4026.2666015625, 19452.775390625, 7930.8427734375, 4206.29736328125, 4077.298095703125, 3725.27099609375, 4079.489990234375, 4195.97705078125, 3564.9892578125, 11365.3017578125, 4955.21435546875, 4041.53564453125, 3912.572021484375, 3232.43603515625, 6308.8798828125, 4729.63916015625, 4874.87890625, 4760.81396484375, 4934.9716796875, 3799.59423828125, 4696.35546875, 8660.62109375, 4778.44091796875, 6283.76806640625, 4051.122802734375, 5157.42236328125, 15105.884765625, 16774.357421875, 62869.25390625, 32917.234375, 4482.45654296875, 47808.86328125, 49916.6171875, 24726.302734375, 23517.947265625, 3463.28857421875, 3956.0341796875, 3999.79931640625, 5171.62744140625, 10854.2421875, 6519.09619140625, 4345.78759765625, 7397.123046875, 3414.010009765625, 21781.01953125, 16585.943359375, 6736.9794921875, 34788.13671875, 20163.517578125, 4934.75927734375, 24595.78515625, 18302.80859375, 7685.46484375, 3864.3212890625, 7004.291015625, 4649.38623046875, 3862.744384765625, 4432.57470703125, 7935.02734375, 11163.2177734375, 13298.7998046875, 14510.9697265625, 4867.1259765625, 3264.00927734375, 3660.042236328125, 5078.63330078125, 5541.3994140625, 3793.681640625, 6032.4072265625, 4273.16943359375, 4619.01416015625)</t>
  </si>
  <si>
    <t>(91.9319839477539, 92.46489715576172, 95.04900360107422, 97.06455993652344, 97.39237213134766, 99.04407501220703, 101.05957794189453, 102.08645629882812, 104.78832244873047, 105.27651977539062, 105.38050842285156, 106.21516418457031, 106.55435943603516, 109.53815460205078, 111.04399871826172, 111.04835510253906, 112.04737854003906, 113.0595932006836, 118.53058624267578, 125.05284118652344, 125.0595703125, 127.07505798339844, 129.09072875976562, 139.9471893310547, 140.07034301757812, 141.0543670654297, 143.07009887695312, 144.26271057128906, 145.08575439453125, 148.50592041015625, 150.744140625, 150.74954223632812, 150.75489807128906, 150.76560974121094, 150.7708740234375, 150.7762908935547, 150.78160095214844, 150.78697204589844, 152.0706329345703, 154.08619689941406, 155.07005310058594, 156.07325744628906, 156.1016845703125, 157.0859375, 169.0490264892578, 172.45069885253906, 173.0803680419922, 173.5900115966797, 178.08639526367188, 182.081298828125, 184.3913116455078, 186.1114959716797, 187.0565948486328, 187.09625244140625, 188.09938049316406, 189.1116180419922, 190.11485290527344, 196.0966033935547, 196.1684112548828, 197.09994506835938, 197.10877990722656, 198.112548828125, 205.10621643066406, 206.08099365234375, 207.06483459472656, 210.07554626464844, 214.107177734375, 219.12246704101562, 220.09701538085938, 224.09190368652344, 228.12257385253906, 232.11767578125, 238.10707092285156, 239.0911865234375, 239.10992431640625, 246.13323974609375, 247.13661193847656, 247.5831756591797, 248.09107971191406, 256.11834716796875, 257.73919677734375, 260.1488342285156, 261.1522216796875, 270.1331481933594, 280.1174621582031, 303.14337158203125, 312.1436462402344, 313.1274719238281, 313.1468811035156, 330.1547546386719, 341.0628967285156, 344.16973876953125, 345.1731872558594, 346.1749572753906, 353.93365478515625, 358.1869812011719, 374.1803283691406, 375.1835632324219, 376.19598388671875, 377.1999206542969, 386.18121337890625, 390.2112731933594, 399.02239990234375, 404.19097900390625, 418.20654296875, 419.2086486816406, 420.2222900390625, 421.2224426269531, 432.2221374511719, 433.225341796875, 434.2376708984375, 436.21746826171875, 443.65252685546875, 450.2322692871094, 451.23614501953125, 464.2482604980469, 465.251220703125, 466.25347900390625, 566.279296875, 580.2972412109375, 581.2993774414062, 594.3134155273438, 608.28857421875, 622.3057250976562, 623.3115234375, 624.3214111328125, 636.3217163085938, 637.3262939453125, 638.3353881835938, 640.315185546875, 654.3313598632812, 665.3604736328125, 668.3473510742188, 669.3492431640625, 679.3558349609375, 751.3765869140625, 752.3690185546875, 784.3953857421875, 793.395751953125, 794.4002685546875, 795.3995971679688, 812.3909301757812, 813.3883056640625, 825.4216918945312, 826.4243774414062, 827.42431640625, 828.4185180664062, 844.4197998046875, 845.4171142578125, 858.4357299804688, 864.4747924804688, 885.4398193359375, 899.4581298828125, 958.4865112304688, 997.4973754882812, 998.4957275390625, 1015.5010986328125, 1016.5239868164062, 1024.8720703125, 1029.5135498046875, 1032.54052734375, 1057.5118408203125, 1058.523681640625, 1066.5400390625, 1067.0426025390625, 1067.535400390625, 1071.531005859375, 1089.5352783203125, 1090.544677734375, 1103.558837890625, 1104.5643310546875, 1105.5634765625, 1153.582275390625, 1154.0960693359375, 1154.5885009765625, 1203.6138916015625, 1204.6070556640625, 1261.6021728515625, 1275.64501953125, 1276.1346435546875, 1276.6468505859375, 1277.1529541015625, 1291.6544189453125, 1292.1590576171875, 1292.660888671875, 1293.1697998046875, 1293.63720703125, 1307.655029296875, 1308.65869140625, 1334.672607421875, 1348.680419921875, 1380.7021484375, 1522.7755126953125, 1523.7669677734375, 1538.767822265625, 1552.7818603515625, 1553.7967529296875, 1668.8282470703125, 1738.606689453125, 1756.8837890625, 1757.899658203125)</t>
  </si>
  <si>
    <t>(1691.1199951171875, 1445.180908203125, 1929.070556640625, 3853.07470703125, 1308.9130859375, 27135.84375, 6176.7197265625, 1351.895751953125, 1397.4012451171875, 1555.2919921875, 1546.1739501953125, 1452.7186279296875, 1615.3677978515625, 1603.7962646484375, 99673.5859375, 5694.79052734375, 4418.451171875, 6356.998046875, 2013.3905029296875, 1914.962646484375, 5339.337890625, 7729.05224609375, 3821.43505859375, 2689.946533203125, 8083.87060546875, 9102.373046875, 4400.9873046875, 2057.55859375, 14597.865234375, 2072.82421875, 3244.801513671875, 5148.48828125, 6113.7314453125, 9618.4501953125, 10717.5517578125, 7255.3173828125, 5906.68359375, 4181.72265625, 5543.57568359375, 25157.013671875, 48754.140625, 3013.31787109375, 2785.794189453125, 15163.8232421875, 3387.447509765625, 2502.06396484375, 11963.4609375, 2343.656982421875, 5436.06005859375, 13001.3994140625, 2330.79150390625, 2827.1796875, 2617.1513671875, 63019.8984375, 3825.998779296875, 12895.017578125, 3237.95751953125, 215886.734375, 2241.56640625, 13607.1220703125, 2162.995361328125, 5183.5478515625, 3315.2724609375, 13341.8134765625, 5432.1103515625, 4304.564453125, 19635.18359375, 3858.67529296875, 2848.5166015625, 20452.65625, 48430.1171875, 6124.64892578125, 17980.533203125, 14051.880859375, 2941.174560546875, 110673.359375, 6522.14013671875, 2766.303955078125, 3981.7802734375, 6446.435546875, 2323.65087890625, 188235.859375, 16441.619140625, 8834.8466796875, 11672.470703125, 7318.904296875, 108426.578125, 3600.330078125, 9815.8974609375, 5208.1728515625, 2690.167236328125, 906395.25, 130374.40625, 7445.05859375, 2987.37158203125, 3527.421142578125, 19196.875, 4837.7265625, 182193.625, 23692.177734375, 6505.51953125, 5406.4130859375, 2747.84033203125, 3198.0048828125, 40447.4453125, 6750.123046875, 30204.318359375, 3593.10546875, 255533.984375, 38994.44921875, 5772.6484375, 6934.20068359375, 2746.285888671875, 54612.04296875, 10268.9990234375, 300347.125, 50701.4609375, 7656.931640625, 8752.4794921875, 11835.4365234375, 3826.91015625, 4266.6826171875, 3900.63916015625, 17828.609375, 3436.62109375, 5647.09228515625, 31284.912109375, 7813.52734375, 7956.3671875, 22977.923828125, 8769.7353515625, 3042.075927734375, 11170.5263671875, 2972.386962890625, 4016.856201171875, 3463.344970703125, 6977.45458984375, 3411.90478515625, 118144.9765625, 41097.48046875, 6161.9921875, 10758.5234375, 3468.0244140625, 122048.2421875, 49351.69921875, 8923.6875, 7013.12060546875, 19216.85546875, 8408.8740234375, 3384.38134765625, 3762.106689453125, 4112.37646484375, 6925.837890625, 3047.955078125, 40895.33984375, 23585.73828125, 8077.1220703125, 3666.779052734375, 3360.990478515625, 5303.79052734375, 3777.7685546875, 3423.6611328125, 3306.299072265625, 28411.13671875, 34096.7734375, 15996.3427734375, 4401.15478515625, 18172.400390625, 7185.2744140625, 28298.798828125, 16494.568359375, 6049.74658203125, 9808.7705078125, 11223.80078125, 5888.34619140625, 5913.2392578125, 4233.38720703125, 5312.50732421875, 3183.5390625, 13248.1162109375, 22825.283203125, 14792.3017578125, 10339.7509765625, 18787.04296875, 59633.37109375, 19562.974609375, 12843.14453125, 29584.857421875, 17502.1171875, 4691.3984375, 3207.713134765625, 4230.32177734375, 8015.6513671875, 4100.0361328125, 3668.157470703125, 21901.78125, 17741.18359375, 7784.95556640625, 3207.644775390625, 6379.71337890625, 5836.58642578125)</t>
  </si>
  <si>
    <t>MS2_ref (DEMO)</t>
    <phoneticPr fontId="1" type="noConversion"/>
  </si>
  <si>
    <t>(Full table saved in another file managed by GlycoMSP)</t>
    <phoneticPr fontId="1" type="noConversion"/>
  </si>
  <si>
    <t>LeX</t>
  </si>
  <si>
    <t>fragmentation type</t>
    <phoneticPr fontId="1" type="noConversion"/>
  </si>
  <si>
    <t xml:space="preserve">Gal(1-4)(Fuc(1-3)-GlcNAc) OR </t>
    <phoneticPr fontId="1" type="noConversion"/>
  </si>
  <si>
    <t>glycotope</t>
    <phoneticPr fontId="1" type="noConversion"/>
  </si>
  <si>
    <t>C</t>
    <phoneticPr fontId="1" type="noConversion"/>
  </si>
  <si>
    <t>Glycotope (customizable)</t>
    <phoneticPr fontId="1" type="noConversion"/>
  </si>
  <si>
    <t>Fragementation mass</t>
    <phoneticPr fontId="1" type="noConversion"/>
  </si>
  <si>
    <t>B</t>
    <phoneticPr fontId="1" type="noConversion"/>
  </si>
  <si>
    <t>Neu5Ac-Gal</t>
    <phoneticPr fontId="1" type="noConversion"/>
  </si>
  <si>
    <t>Neu5Ac-Gal-GlcNAc</t>
    <phoneticPr fontId="1" type="noConversion"/>
  </si>
  <si>
    <t>SialylLacNac</t>
    <phoneticPr fontId="1" type="noConversion"/>
  </si>
  <si>
    <t>Structure</t>
    <phoneticPr fontId="1" type="noConversion"/>
  </si>
  <si>
    <t>Composition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</si>
</sst>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煥權" refreshedDate="45939.418743865739" createdVersion="8" refreshedVersion="8" minRefreshableVersion="3" recordCount="190" xr:uid="{A90A2D91-2DF2-4DB1-940A-DB1F91E2BBBB}">
  <cacheSource type="worksheet">
    <worksheetSource ref="A1:A1048576" sheet="MSlist"/>
  </cacheSource>
  <cacheFields count="1">
    <cacheField name="Structure" numFmtId="0">
      <sharedItems containsBlank="1" count="29">
        <s v="H3N4"/>
        <s v="F1H3N4"/>
        <s v="H4N4"/>
        <s v="H3N5"/>
        <s v="F1H4N4"/>
        <s v="H5N4"/>
        <s v="F1H3N5"/>
        <s v="F1H5N4"/>
        <s v="F1H4N5"/>
        <s v="F1H5N5"/>
        <s v="F1H5N4S1"/>
        <s v="F1H4N5K1"/>
        <s v="F1H4N5S1"/>
        <s v="F1H6N4S1"/>
        <s v="F1H5N5S1"/>
        <s v="F2H6N4S1"/>
        <s v="F2H5N5K1"/>
        <s v="F1H7N4S1"/>
        <s v="F1H5N5K2"/>
        <s v="F1H5N5S1K1"/>
        <s v="F1H6N4S2"/>
        <s v="F2H6N5K1"/>
        <s v="F2H7N4S1"/>
        <s v="F2H6N5S1"/>
        <s v="F2H7N4S2"/>
        <s v="F3H8N4S1"/>
        <s v="F2H7N4S1G1"/>
        <s v="F2H7N4G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5"/>
  </r>
  <r>
    <x v="16"/>
  </r>
  <r>
    <x v="16"/>
  </r>
  <r>
    <x v="15"/>
  </r>
  <r>
    <x v="16"/>
  </r>
  <r>
    <x v="15"/>
  </r>
  <r>
    <x v="15"/>
  </r>
  <r>
    <x v="15"/>
  </r>
  <r>
    <x v="17"/>
  </r>
  <r>
    <x v="17"/>
  </r>
  <r>
    <x v="18"/>
  </r>
  <r>
    <x v="18"/>
  </r>
  <r>
    <x v="18"/>
  </r>
  <r>
    <x v="18"/>
  </r>
  <r>
    <x v="18"/>
  </r>
  <r>
    <x v="18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19"/>
  </r>
  <r>
    <x v="19"/>
  </r>
  <r>
    <x v="19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6"/>
  </r>
  <r>
    <x v="27"/>
  </r>
  <r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D0D18-EF14-44E7-B34C-8869B674E65C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33" firstHeaderRow="1" firstDataRow="1" firstDataCol="1"/>
  <pivotFields count="1">
    <pivotField axis="axisRow" dataField="1" showAll="0">
      <items count="30">
        <item x="1"/>
        <item x="6"/>
        <item x="4"/>
        <item x="8"/>
        <item x="11"/>
        <item x="12"/>
        <item x="7"/>
        <item x="10"/>
        <item x="9"/>
        <item x="18"/>
        <item x="14"/>
        <item x="19"/>
        <item x="13"/>
        <item x="20"/>
        <item x="17"/>
        <item x="16"/>
        <item x="15"/>
        <item x="21"/>
        <item x="23"/>
        <item x="27"/>
        <item x="22"/>
        <item x="26"/>
        <item x="24"/>
        <item x="25"/>
        <item x="0"/>
        <item x="3"/>
        <item x="2"/>
        <item x="5"/>
        <item x="28"/>
        <item t="default"/>
      </items>
    </pivotField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計數 - Structu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1F79-CAD9-4365-95EB-9CD91F872BD7}">
  <dimension ref="A1:T70"/>
  <sheetViews>
    <sheetView workbookViewId="0">
      <pane ySplit="1" topLeftCell="A2" activePane="bottomLeft" state="frozen"/>
      <selection pane="bottomLeft" activeCell="C2" sqref="C2"/>
    </sheetView>
  </sheetViews>
  <sheetFormatPr defaultColWidth="11" defaultRowHeight="16.5"/>
  <cols>
    <col min="1" max="1" width="20" customWidth="1"/>
    <col min="2" max="2" width="17.75" customWidth="1"/>
    <col min="3" max="4" width="17.25" customWidth="1"/>
    <col min="9" max="9" width="15.375" customWidth="1"/>
    <col min="15" max="15" width="21.375" customWidth="1"/>
    <col min="16" max="16" width="38.625" customWidth="1"/>
  </cols>
  <sheetData>
    <row r="1" spans="1:20">
      <c r="A1" t="s">
        <v>214</v>
      </c>
      <c r="B1" t="s">
        <v>0</v>
      </c>
      <c r="C1" t="s">
        <v>217</v>
      </c>
      <c r="D1" t="s">
        <v>216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20">
      <c r="B2" t="s">
        <v>13</v>
      </c>
      <c r="C2" t="s">
        <v>14</v>
      </c>
      <c r="E2">
        <v>1579.7826</v>
      </c>
      <c r="F2">
        <v>1557.8007</v>
      </c>
      <c r="G2">
        <v>779.404</v>
      </c>
      <c r="H2">
        <f t="shared" ref="H2:H34" si="0">(F2+1.0073*2)/3</f>
        <v>519.93843333333336</v>
      </c>
      <c r="I2">
        <f t="shared" ref="I2:I34" si="1">(F2+1.0073*3)/4</f>
        <v>390.20564999999999</v>
      </c>
      <c r="O2" t="s">
        <v>15</v>
      </c>
      <c r="T2" s="1"/>
    </row>
    <row r="3" spans="1:20">
      <c r="A3">
        <v>1</v>
      </c>
      <c r="B3" t="s">
        <v>55</v>
      </c>
      <c r="C3" t="s">
        <v>56</v>
      </c>
      <c r="E3">
        <f t="shared" ref="E3:E35" si="2">F3+21.9819</f>
        <v>1661.8357000000001</v>
      </c>
      <c r="F3">
        <v>1639.8538000000001</v>
      </c>
      <c r="G3">
        <f t="shared" ref="G3:G35" si="3">(F3+1.0073)/2</f>
        <v>820.43055000000004</v>
      </c>
      <c r="H3">
        <f t="shared" si="0"/>
        <v>547.28946666666673</v>
      </c>
      <c r="I3">
        <f t="shared" si="1"/>
        <v>410.71892500000001</v>
      </c>
      <c r="O3" t="s">
        <v>54</v>
      </c>
    </row>
    <row r="4" spans="1:20">
      <c r="B4" t="s">
        <v>16</v>
      </c>
      <c r="C4" t="s">
        <v>17</v>
      </c>
      <c r="E4">
        <f t="shared" si="2"/>
        <v>1783.8823</v>
      </c>
      <c r="F4">
        <v>1761.9004</v>
      </c>
      <c r="G4">
        <f t="shared" si="3"/>
        <v>881.45384999999999</v>
      </c>
      <c r="H4">
        <f t="shared" si="0"/>
        <v>587.97166666666669</v>
      </c>
      <c r="I4">
        <f t="shared" si="1"/>
        <v>441.23057499999999</v>
      </c>
      <c r="O4" t="s">
        <v>15</v>
      </c>
    </row>
    <row r="5" spans="1:20">
      <c r="A5">
        <v>2</v>
      </c>
      <c r="B5" t="s">
        <v>62</v>
      </c>
      <c r="C5" t="s">
        <v>63</v>
      </c>
      <c r="E5">
        <f t="shared" si="2"/>
        <v>1824.9088999999999</v>
      </c>
      <c r="F5">
        <v>1802.9269999999999</v>
      </c>
      <c r="G5">
        <f t="shared" si="3"/>
        <v>901.96714999999995</v>
      </c>
      <c r="H5">
        <f t="shared" si="0"/>
        <v>601.6472</v>
      </c>
      <c r="I5">
        <f t="shared" si="1"/>
        <v>451.48722499999997</v>
      </c>
      <c r="O5" t="s">
        <v>26</v>
      </c>
    </row>
    <row r="6" spans="1:20">
      <c r="A6">
        <v>4</v>
      </c>
      <c r="B6" t="s">
        <v>64</v>
      </c>
      <c r="C6" t="s">
        <v>65</v>
      </c>
      <c r="E6">
        <f t="shared" si="2"/>
        <v>1835.9249</v>
      </c>
      <c r="F6">
        <v>1813.943</v>
      </c>
      <c r="G6">
        <f t="shared" si="3"/>
        <v>907.47514999999999</v>
      </c>
      <c r="H6">
        <f t="shared" si="0"/>
        <v>605.31920000000002</v>
      </c>
      <c r="I6">
        <f t="shared" si="1"/>
        <v>454.24122499999999</v>
      </c>
      <c r="O6" t="s">
        <v>26</v>
      </c>
    </row>
    <row r="7" spans="1:20">
      <c r="A7">
        <v>5</v>
      </c>
      <c r="B7" t="s">
        <v>66</v>
      </c>
      <c r="C7" t="s">
        <v>67</v>
      </c>
      <c r="E7">
        <f t="shared" si="2"/>
        <v>1865.9354000000001</v>
      </c>
      <c r="F7">
        <v>1843.9535000000001</v>
      </c>
      <c r="G7">
        <f t="shared" si="3"/>
        <v>922.48040000000003</v>
      </c>
      <c r="H7">
        <f t="shared" si="0"/>
        <v>615.32270000000005</v>
      </c>
      <c r="I7">
        <f t="shared" si="1"/>
        <v>461.74385000000001</v>
      </c>
    </row>
    <row r="8" spans="1:20">
      <c r="B8" t="s">
        <v>57</v>
      </c>
      <c r="C8" t="s">
        <v>58</v>
      </c>
      <c r="E8">
        <f t="shared" si="2"/>
        <v>1906.962</v>
      </c>
      <c r="F8">
        <v>1884.9801</v>
      </c>
      <c r="G8">
        <f t="shared" si="3"/>
        <v>942.99369999999999</v>
      </c>
      <c r="H8">
        <f t="shared" si="0"/>
        <v>628.99823333333336</v>
      </c>
      <c r="I8">
        <f t="shared" si="1"/>
        <v>472.00049999999999</v>
      </c>
      <c r="O8" t="s">
        <v>54</v>
      </c>
    </row>
    <row r="9" spans="1:20">
      <c r="B9" t="s">
        <v>18</v>
      </c>
      <c r="C9" t="s">
        <v>19</v>
      </c>
      <c r="E9">
        <f t="shared" si="2"/>
        <v>1987.9820999999999</v>
      </c>
      <c r="F9">
        <v>1966.0001999999999</v>
      </c>
      <c r="G9">
        <f t="shared" si="3"/>
        <v>983.50374999999997</v>
      </c>
      <c r="H9">
        <f t="shared" si="0"/>
        <v>656.00493333333327</v>
      </c>
      <c r="I9">
        <f t="shared" si="1"/>
        <v>492.25552499999998</v>
      </c>
      <c r="O9" t="s">
        <v>15</v>
      </c>
    </row>
    <row r="10" spans="1:20">
      <c r="A10" t="s">
        <v>68</v>
      </c>
      <c r="B10" t="s">
        <v>62</v>
      </c>
      <c r="C10" t="s">
        <v>69</v>
      </c>
      <c r="E10">
        <f t="shared" si="2"/>
        <v>2029.0087000000001</v>
      </c>
      <c r="F10">
        <v>2007.0268000000001</v>
      </c>
      <c r="G10">
        <f t="shared" si="3"/>
        <v>1004.01705</v>
      </c>
      <c r="H10">
        <f t="shared" si="0"/>
        <v>669.68046666666669</v>
      </c>
      <c r="I10">
        <f t="shared" si="1"/>
        <v>502.51217500000001</v>
      </c>
      <c r="O10" t="s">
        <v>26</v>
      </c>
    </row>
    <row r="11" spans="1:20">
      <c r="A11">
        <v>8</v>
      </c>
      <c r="B11" t="s">
        <v>64</v>
      </c>
      <c r="C11" t="s">
        <v>70</v>
      </c>
      <c r="E11">
        <f t="shared" si="2"/>
        <v>2040.0246</v>
      </c>
      <c r="F11">
        <v>2018.0427</v>
      </c>
      <c r="G11">
        <f t="shared" si="3"/>
        <v>1009.525</v>
      </c>
      <c r="H11">
        <f t="shared" si="0"/>
        <v>673.35243333333335</v>
      </c>
      <c r="I11">
        <f t="shared" si="1"/>
        <v>505.26614999999998</v>
      </c>
      <c r="O11" t="s">
        <v>26</v>
      </c>
    </row>
    <row r="12" spans="1:20">
      <c r="A12" t="s">
        <v>71</v>
      </c>
      <c r="B12" t="s">
        <v>64</v>
      </c>
      <c r="C12" t="s">
        <v>72</v>
      </c>
      <c r="E12">
        <f t="shared" si="2"/>
        <v>2070.0352000000003</v>
      </c>
      <c r="F12">
        <v>2048.0533</v>
      </c>
      <c r="G12">
        <f t="shared" si="3"/>
        <v>1024.5303000000001</v>
      </c>
      <c r="H12">
        <f t="shared" si="0"/>
        <v>683.35596666666663</v>
      </c>
      <c r="I12">
        <f t="shared" si="1"/>
        <v>512.76880000000006</v>
      </c>
      <c r="O12" t="s">
        <v>26</v>
      </c>
    </row>
    <row r="13" spans="1:20">
      <c r="A13">
        <v>12</v>
      </c>
      <c r="B13" t="s">
        <v>73</v>
      </c>
      <c r="C13" t="s">
        <v>74</v>
      </c>
      <c r="E13">
        <f t="shared" si="2"/>
        <v>2081.0512000000003</v>
      </c>
      <c r="F13">
        <v>2059.0693000000001</v>
      </c>
      <c r="G13">
        <f t="shared" si="3"/>
        <v>1030.0383000000002</v>
      </c>
      <c r="H13">
        <f t="shared" si="0"/>
        <v>687.02796666666666</v>
      </c>
      <c r="I13">
        <f t="shared" si="1"/>
        <v>515.52280000000007</v>
      </c>
      <c r="O13" t="s">
        <v>26</v>
      </c>
    </row>
    <row r="14" spans="1:20">
      <c r="B14" t="s">
        <v>20</v>
      </c>
      <c r="C14" t="s">
        <v>21</v>
      </c>
      <c r="E14">
        <f t="shared" si="2"/>
        <v>2192.0819000000001</v>
      </c>
      <c r="F14">
        <v>2170.1</v>
      </c>
      <c r="G14">
        <f t="shared" si="3"/>
        <v>1085.5536500000001</v>
      </c>
      <c r="H14">
        <f t="shared" si="0"/>
        <v>724.03819999999996</v>
      </c>
      <c r="I14">
        <f t="shared" si="1"/>
        <v>543.28047500000002</v>
      </c>
      <c r="O14" t="s">
        <v>15</v>
      </c>
    </row>
    <row r="15" spans="1:20">
      <c r="B15" t="s">
        <v>27</v>
      </c>
      <c r="C15" t="s">
        <v>28</v>
      </c>
      <c r="E15">
        <f t="shared" si="2"/>
        <v>2227.1091000000001</v>
      </c>
      <c r="F15">
        <v>2205.1271999999999</v>
      </c>
      <c r="G15">
        <f t="shared" si="3"/>
        <v>1103.0672500000001</v>
      </c>
      <c r="H15">
        <f t="shared" si="0"/>
        <v>735.71393333333333</v>
      </c>
      <c r="I15">
        <f t="shared" si="1"/>
        <v>552.03727500000002</v>
      </c>
      <c r="O15" t="s">
        <v>29</v>
      </c>
    </row>
    <row r="16" spans="1:20">
      <c r="A16" t="s">
        <v>75</v>
      </c>
      <c r="B16" t="s">
        <v>64</v>
      </c>
      <c r="C16" t="s">
        <v>76</v>
      </c>
      <c r="E16">
        <f t="shared" si="2"/>
        <v>2244.1244000000002</v>
      </c>
      <c r="F16">
        <v>2222.1424999999999</v>
      </c>
      <c r="G16">
        <f t="shared" si="3"/>
        <v>1111.5749000000001</v>
      </c>
      <c r="H16">
        <f t="shared" si="0"/>
        <v>741.38569999999993</v>
      </c>
      <c r="I16">
        <f t="shared" si="1"/>
        <v>556.29110000000003</v>
      </c>
      <c r="O16" t="s">
        <v>26</v>
      </c>
    </row>
    <row r="17" spans="1:15">
      <c r="A17">
        <v>15</v>
      </c>
      <c r="B17" t="s">
        <v>24</v>
      </c>
      <c r="C17" t="s">
        <v>25</v>
      </c>
      <c r="E17">
        <f t="shared" si="2"/>
        <v>2257.1197000000002</v>
      </c>
      <c r="F17">
        <v>2235.1378</v>
      </c>
      <c r="G17">
        <f t="shared" si="3"/>
        <v>1118.0725500000001</v>
      </c>
      <c r="H17">
        <f t="shared" si="0"/>
        <v>745.71746666666661</v>
      </c>
      <c r="I17">
        <f t="shared" si="1"/>
        <v>559.53992500000004</v>
      </c>
      <c r="J17" s="3"/>
      <c r="K17" s="3"/>
      <c r="O17" t="s">
        <v>26</v>
      </c>
    </row>
    <row r="18" spans="1:15">
      <c r="A18" t="s">
        <v>146</v>
      </c>
      <c r="B18" t="s">
        <v>33</v>
      </c>
      <c r="C18" t="s">
        <v>34</v>
      </c>
      <c r="E18">
        <f t="shared" si="2"/>
        <v>2285.1510000000003</v>
      </c>
      <c r="F18">
        <v>2263.1691000000001</v>
      </c>
      <c r="G18">
        <f t="shared" si="3"/>
        <v>1132.0882000000001</v>
      </c>
      <c r="H18">
        <f t="shared" si="0"/>
        <v>755.06123333333335</v>
      </c>
      <c r="I18">
        <f t="shared" si="1"/>
        <v>566.54775000000006</v>
      </c>
      <c r="J18" s="3"/>
      <c r="K18" s="3"/>
      <c r="O18" t="s">
        <v>26</v>
      </c>
    </row>
    <row r="19" spans="1:15">
      <c r="A19">
        <v>17</v>
      </c>
      <c r="B19" t="s">
        <v>35</v>
      </c>
      <c r="C19" t="s">
        <v>34</v>
      </c>
      <c r="E19">
        <f t="shared" si="2"/>
        <v>2285.1510000000003</v>
      </c>
      <c r="F19">
        <v>2263.1691000000001</v>
      </c>
      <c r="G19">
        <f t="shared" si="3"/>
        <v>1132.0882000000001</v>
      </c>
      <c r="H19">
        <f t="shared" si="0"/>
        <v>755.06123333333335</v>
      </c>
      <c r="I19">
        <f t="shared" si="1"/>
        <v>566.54775000000006</v>
      </c>
      <c r="J19" s="3"/>
      <c r="K19" s="3"/>
      <c r="O19" t="s">
        <v>36</v>
      </c>
    </row>
    <row r="20" spans="1:15">
      <c r="B20" t="s">
        <v>22</v>
      </c>
      <c r="C20" t="s">
        <v>23</v>
      </c>
      <c r="E20">
        <f t="shared" si="2"/>
        <v>2396.1816000000003</v>
      </c>
      <c r="F20">
        <v>2374.1997000000001</v>
      </c>
      <c r="G20">
        <f t="shared" si="3"/>
        <v>1187.6035000000002</v>
      </c>
      <c r="H20">
        <f t="shared" si="0"/>
        <v>792.0714333333334</v>
      </c>
      <c r="I20">
        <f t="shared" si="1"/>
        <v>594.30540000000008</v>
      </c>
      <c r="J20" s="3"/>
      <c r="K20" s="3"/>
      <c r="O20" t="s">
        <v>15</v>
      </c>
    </row>
    <row r="21" spans="1:15">
      <c r="A21">
        <v>20</v>
      </c>
      <c r="B21" t="s">
        <v>147</v>
      </c>
      <c r="C21" t="s">
        <v>32</v>
      </c>
      <c r="E21">
        <f t="shared" si="2"/>
        <v>2431.2089000000001</v>
      </c>
      <c r="F21">
        <v>2409.2269999999999</v>
      </c>
      <c r="G21">
        <f t="shared" si="3"/>
        <v>1205.11715</v>
      </c>
      <c r="H21">
        <f t="shared" ref="H21" si="4">(F21+1.0073*2)/3</f>
        <v>803.74719999999991</v>
      </c>
      <c r="I21">
        <f t="shared" ref="I21" si="5">(F21+1.0073*3)/4</f>
        <v>603.06222500000001</v>
      </c>
      <c r="J21" s="3"/>
      <c r="K21" s="3"/>
    </row>
    <row r="22" spans="1:15">
      <c r="A22" t="s">
        <v>31</v>
      </c>
      <c r="B22" t="s">
        <v>27</v>
      </c>
      <c r="C22" t="s">
        <v>32</v>
      </c>
      <c r="E22">
        <f t="shared" si="2"/>
        <v>2431.2089000000001</v>
      </c>
      <c r="F22">
        <v>2409.2269999999999</v>
      </c>
      <c r="G22">
        <f t="shared" si="3"/>
        <v>1205.11715</v>
      </c>
      <c r="H22">
        <f t="shared" si="0"/>
        <v>803.74719999999991</v>
      </c>
      <c r="I22">
        <f t="shared" si="1"/>
        <v>603.06222500000001</v>
      </c>
      <c r="J22" s="3"/>
      <c r="K22" s="3"/>
      <c r="O22" t="s">
        <v>29</v>
      </c>
    </row>
    <row r="23" spans="1:15">
      <c r="A23" t="s">
        <v>77</v>
      </c>
      <c r="B23" t="s">
        <v>78</v>
      </c>
      <c r="C23" t="s">
        <v>79</v>
      </c>
      <c r="E23">
        <f t="shared" si="2"/>
        <v>2448.2242000000001</v>
      </c>
      <c r="F23">
        <v>2426.2422999999999</v>
      </c>
      <c r="G23">
        <f t="shared" si="3"/>
        <v>1213.6248000000001</v>
      </c>
      <c r="H23">
        <f t="shared" si="0"/>
        <v>809.41896666666662</v>
      </c>
      <c r="I23">
        <f t="shared" si="1"/>
        <v>607.31605000000002</v>
      </c>
      <c r="J23" s="3"/>
      <c r="K23" s="3"/>
      <c r="O23" t="s">
        <v>26</v>
      </c>
    </row>
    <row r="24" spans="1:15">
      <c r="A24">
        <v>23</v>
      </c>
      <c r="B24" t="s">
        <v>80</v>
      </c>
      <c r="C24" t="s">
        <v>81</v>
      </c>
      <c r="E24">
        <f t="shared" si="2"/>
        <v>2459.2402000000002</v>
      </c>
      <c r="F24">
        <v>2437.2583</v>
      </c>
      <c r="G24">
        <f t="shared" si="3"/>
        <v>1219.1328000000001</v>
      </c>
      <c r="H24">
        <f t="shared" si="0"/>
        <v>813.09096666666665</v>
      </c>
      <c r="I24">
        <f t="shared" si="1"/>
        <v>610.07005000000004</v>
      </c>
      <c r="J24" s="3"/>
      <c r="K24" s="3"/>
      <c r="O24" t="s">
        <v>26</v>
      </c>
    </row>
    <row r="25" spans="1:15">
      <c r="A25">
        <v>24</v>
      </c>
      <c r="B25" t="s">
        <v>24</v>
      </c>
      <c r="C25" t="s">
        <v>30</v>
      </c>
      <c r="E25">
        <f t="shared" si="2"/>
        <v>2461.2194000000004</v>
      </c>
      <c r="F25">
        <v>2439.2375000000002</v>
      </c>
      <c r="G25">
        <f t="shared" si="3"/>
        <v>1220.1224000000002</v>
      </c>
      <c r="H25">
        <f t="shared" si="0"/>
        <v>813.75070000000005</v>
      </c>
      <c r="I25">
        <f t="shared" si="1"/>
        <v>610.56485000000009</v>
      </c>
      <c r="J25" s="3"/>
      <c r="K25" s="3"/>
      <c r="O25" t="s">
        <v>29</v>
      </c>
    </row>
    <row r="26" spans="1:15">
      <c r="A26" t="s">
        <v>148</v>
      </c>
      <c r="B26" t="s">
        <v>52</v>
      </c>
      <c r="C26" t="s">
        <v>53</v>
      </c>
      <c r="E26">
        <f t="shared" si="2"/>
        <v>2489.2507000000001</v>
      </c>
      <c r="F26">
        <v>2467.2687999999998</v>
      </c>
      <c r="G26">
        <f t="shared" si="3"/>
        <v>1234.13805</v>
      </c>
      <c r="H26">
        <f t="shared" si="0"/>
        <v>823.09446666666656</v>
      </c>
      <c r="I26">
        <f t="shared" si="1"/>
        <v>617.572675</v>
      </c>
      <c r="J26" s="3"/>
      <c r="K26" s="3"/>
      <c r="O26" t="s">
        <v>54</v>
      </c>
    </row>
    <row r="27" spans="1:15">
      <c r="A27" t="s">
        <v>82</v>
      </c>
      <c r="B27" t="s">
        <v>83</v>
      </c>
      <c r="C27" t="s">
        <v>84</v>
      </c>
      <c r="E27">
        <f t="shared" si="2"/>
        <v>2605.2981000000004</v>
      </c>
      <c r="F27">
        <v>2583.3162000000002</v>
      </c>
      <c r="G27">
        <f t="shared" si="3"/>
        <v>1292.1617500000002</v>
      </c>
      <c r="H27">
        <f t="shared" si="0"/>
        <v>861.77693333333343</v>
      </c>
      <c r="I27">
        <f t="shared" si="1"/>
        <v>646.5845250000001</v>
      </c>
      <c r="J27" s="3"/>
      <c r="K27" s="3"/>
      <c r="O27" t="s">
        <v>26</v>
      </c>
    </row>
    <row r="28" spans="1:15">
      <c r="A28" t="s">
        <v>85</v>
      </c>
      <c r="C28" t="s">
        <v>86</v>
      </c>
      <c r="E28">
        <f t="shared" si="2"/>
        <v>2622.3134</v>
      </c>
      <c r="F28">
        <v>2600.3314999999998</v>
      </c>
      <c r="G28">
        <f t="shared" si="3"/>
        <v>1300.6694</v>
      </c>
      <c r="H28">
        <f t="shared" si="0"/>
        <v>867.44869999999992</v>
      </c>
      <c r="I28">
        <f t="shared" si="1"/>
        <v>650.83834999999999</v>
      </c>
      <c r="J28" s="3"/>
      <c r="K28" s="3"/>
      <c r="O28" t="s">
        <v>26</v>
      </c>
    </row>
    <row r="29" spans="1:15">
      <c r="A29" t="s">
        <v>87</v>
      </c>
      <c r="B29" t="s">
        <v>83</v>
      </c>
      <c r="C29" t="s">
        <v>88</v>
      </c>
      <c r="E29">
        <f t="shared" si="2"/>
        <v>2635.3086000000003</v>
      </c>
      <c r="F29">
        <v>2613.3267000000001</v>
      </c>
      <c r="G29">
        <f t="shared" si="3"/>
        <v>1307.1670000000001</v>
      </c>
      <c r="H29">
        <f t="shared" si="0"/>
        <v>871.78043333333335</v>
      </c>
      <c r="I29">
        <f t="shared" si="1"/>
        <v>654.08715000000007</v>
      </c>
      <c r="J29" s="3"/>
      <c r="K29" s="3"/>
      <c r="O29" t="s">
        <v>26</v>
      </c>
    </row>
    <row r="30" spans="1:15">
      <c r="A30" t="s">
        <v>89</v>
      </c>
      <c r="B30" t="s">
        <v>83</v>
      </c>
      <c r="C30" t="s">
        <v>90</v>
      </c>
      <c r="E30">
        <f t="shared" si="2"/>
        <v>2635.3086000000003</v>
      </c>
      <c r="F30">
        <v>2613.3267000000001</v>
      </c>
      <c r="G30">
        <f t="shared" si="3"/>
        <v>1307.1670000000001</v>
      </c>
      <c r="H30">
        <f t="shared" si="0"/>
        <v>871.78043333333335</v>
      </c>
      <c r="I30">
        <f t="shared" si="1"/>
        <v>654.08715000000007</v>
      </c>
      <c r="J30" s="3"/>
      <c r="K30" s="3"/>
      <c r="O30" t="s">
        <v>26</v>
      </c>
    </row>
    <row r="31" spans="1:15">
      <c r="A31">
        <v>42</v>
      </c>
      <c r="B31" t="s">
        <v>37</v>
      </c>
      <c r="C31" t="s">
        <v>38</v>
      </c>
      <c r="E31">
        <f t="shared" si="2"/>
        <v>2663.3399000000004</v>
      </c>
      <c r="F31">
        <v>2641.3580000000002</v>
      </c>
      <c r="G31">
        <f t="shared" si="3"/>
        <v>1321.1826500000002</v>
      </c>
      <c r="H31">
        <f t="shared" si="0"/>
        <v>881.12420000000009</v>
      </c>
      <c r="I31">
        <f t="shared" si="1"/>
        <v>661.09497500000009</v>
      </c>
      <c r="J31" s="3"/>
      <c r="K31" s="3"/>
      <c r="O31" t="s">
        <v>26</v>
      </c>
    </row>
    <row r="32" spans="1:15">
      <c r="A32" t="s">
        <v>91</v>
      </c>
      <c r="B32" t="s">
        <v>92</v>
      </c>
      <c r="C32" t="s">
        <v>93</v>
      </c>
      <c r="E32">
        <f t="shared" si="2"/>
        <v>2693.3505</v>
      </c>
      <c r="F32">
        <v>2671.3685999999998</v>
      </c>
      <c r="G32">
        <f t="shared" si="3"/>
        <v>1336.18795</v>
      </c>
      <c r="H32">
        <f t="shared" si="0"/>
        <v>891.12773333333325</v>
      </c>
      <c r="I32">
        <f t="shared" si="1"/>
        <v>668.59762499999999</v>
      </c>
      <c r="J32" s="3"/>
      <c r="K32" s="3"/>
      <c r="O32" t="s">
        <v>26</v>
      </c>
    </row>
    <row r="33" spans="1:15">
      <c r="A33" t="s">
        <v>94</v>
      </c>
      <c r="B33" t="s">
        <v>83</v>
      </c>
      <c r="C33" t="s">
        <v>95</v>
      </c>
      <c r="E33">
        <f t="shared" si="2"/>
        <v>2809.3978000000002</v>
      </c>
      <c r="F33">
        <v>2787.4159</v>
      </c>
      <c r="G33">
        <f t="shared" si="3"/>
        <v>1394.2116000000001</v>
      </c>
      <c r="H33">
        <f t="shared" si="0"/>
        <v>929.81016666666665</v>
      </c>
      <c r="I33">
        <f t="shared" si="1"/>
        <v>697.60945000000004</v>
      </c>
      <c r="J33" s="3"/>
      <c r="K33" s="3"/>
      <c r="O33" t="s">
        <v>26</v>
      </c>
    </row>
    <row r="34" spans="1:15">
      <c r="A34" t="s">
        <v>96</v>
      </c>
      <c r="B34" t="s">
        <v>97</v>
      </c>
      <c r="C34" t="s">
        <v>98</v>
      </c>
      <c r="E34">
        <f t="shared" si="2"/>
        <v>2809.3978000000002</v>
      </c>
      <c r="F34">
        <v>2787.4159</v>
      </c>
      <c r="G34">
        <f t="shared" si="3"/>
        <v>1394.2116000000001</v>
      </c>
      <c r="H34">
        <f t="shared" si="0"/>
        <v>929.81016666666665</v>
      </c>
      <c r="I34">
        <f t="shared" si="1"/>
        <v>697.60945000000004</v>
      </c>
      <c r="J34" s="3"/>
      <c r="K34" s="3"/>
      <c r="O34" t="s">
        <v>26</v>
      </c>
    </row>
    <row r="35" spans="1:15">
      <c r="A35">
        <v>52</v>
      </c>
      <c r="B35" t="s">
        <v>99</v>
      </c>
      <c r="C35" t="s">
        <v>100</v>
      </c>
      <c r="E35">
        <f t="shared" si="2"/>
        <v>2826.4132000000004</v>
      </c>
      <c r="F35">
        <v>2804.4313000000002</v>
      </c>
      <c r="G35">
        <f t="shared" si="3"/>
        <v>1402.7193000000002</v>
      </c>
      <c r="H35">
        <f t="shared" ref="H35:H70" si="6">(F35+1.0073*2)/3</f>
        <v>935.48196666666672</v>
      </c>
      <c r="I35">
        <f t="shared" ref="I35:I70" si="7">(F35+1.0073*3)/4</f>
        <v>701.86330000000009</v>
      </c>
      <c r="J35" s="3"/>
      <c r="K35" s="3"/>
      <c r="O35" t="s">
        <v>26</v>
      </c>
    </row>
    <row r="36" spans="1:15">
      <c r="A36">
        <v>53</v>
      </c>
      <c r="B36" t="s">
        <v>101</v>
      </c>
      <c r="C36" t="s">
        <v>102</v>
      </c>
      <c r="E36">
        <f t="shared" ref="E36:E67" si="8">F36+21.9819</f>
        <v>2850.4244000000003</v>
      </c>
      <c r="F36">
        <v>2828.4425000000001</v>
      </c>
      <c r="G36">
        <f t="shared" ref="G36:G67" si="9">(F36+1.0073)/2</f>
        <v>1414.7249000000002</v>
      </c>
      <c r="H36">
        <f t="shared" si="6"/>
        <v>943.48570000000007</v>
      </c>
      <c r="I36">
        <f t="shared" si="7"/>
        <v>707.86610000000007</v>
      </c>
      <c r="J36" s="3"/>
      <c r="K36" s="3"/>
      <c r="O36" t="s">
        <v>26</v>
      </c>
    </row>
    <row r="37" spans="1:15">
      <c r="A37" t="s">
        <v>103</v>
      </c>
      <c r="C37" t="s">
        <v>104</v>
      </c>
      <c r="E37">
        <f t="shared" si="8"/>
        <v>2850.4244000000003</v>
      </c>
      <c r="F37">
        <v>2828.4425000000001</v>
      </c>
      <c r="G37">
        <f t="shared" si="9"/>
        <v>1414.7249000000002</v>
      </c>
      <c r="H37">
        <f t="shared" si="6"/>
        <v>943.48570000000007</v>
      </c>
      <c r="I37">
        <f t="shared" si="7"/>
        <v>707.86610000000007</v>
      </c>
      <c r="J37" s="3"/>
      <c r="K37" s="3"/>
      <c r="O37" t="s">
        <v>26</v>
      </c>
    </row>
    <row r="38" spans="1:15">
      <c r="A38">
        <v>57</v>
      </c>
      <c r="B38" t="s">
        <v>99</v>
      </c>
      <c r="C38" t="s">
        <v>105</v>
      </c>
      <c r="E38">
        <f t="shared" si="8"/>
        <v>2867.4397000000004</v>
      </c>
      <c r="F38">
        <v>2845.4578000000001</v>
      </c>
      <c r="G38">
        <f t="shared" si="9"/>
        <v>1423.2325500000002</v>
      </c>
      <c r="H38">
        <f t="shared" si="6"/>
        <v>949.15746666666666</v>
      </c>
      <c r="I38">
        <f t="shared" si="7"/>
        <v>712.11992500000008</v>
      </c>
      <c r="J38" s="3"/>
      <c r="K38" s="3"/>
      <c r="O38" t="s">
        <v>26</v>
      </c>
    </row>
    <row r="39" spans="1:15">
      <c r="B39" t="s">
        <v>43</v>
      </c>
      <c r="C39" t="s">
        <v>44</v>
      </c>
      <c r="E39">
        <f t="shared" si="8"/>
        <v>2874.4356000000002</v>
      </c>
      <c r="F39">
        <v>2852.4537</v>
      </c>
      <c r="G39">
        <f t="shared" si="9"/>
        <v>1426.7305000000001</v>
      </c>
      <c r="H39">
        <f t="shared" si="6"/>
        <v>951.4894333333333</v>
      </c>
      <c r="I39">
        <f t="shared" si="7"/>
        <v>713.86890000000005</v>
      </c>
      <c r="J39" s="3"/>
      <c r="K39" s="3"/>
      <c r="O39" t="s">
        <v>29</v>
      </c>
    </row>
    <row r="40" spans="1:15">
      <c r="A40">
        <v>58</v>
      </c>
      <c r="B40" t="s">
        <v>39</v>
      </c>
      <c r="C40" t="s">
        <v>40</v>
      </c>
      <c r="E40">
        <f t="shared" si="8"/>
        <v>2904.4462000000003</v>
      </c>
      <c r="F40">
        <v>2882.4643000000001</v>
      </c>
      <c r="G40">
        <f t="shared" si="9"/>
        <v>1441.7358000000002</v>
      </c>
      <c r="H40">
        <f t="shared" si="6"/>
        <v>961.49296666666669</v>
      </c>
      <c r="I40">
        <f t="shared" si="7"/>
        <v>721.37155000000007</v>
      </c>
      <c r="J40" s="3"/>
      <c r="K40" s="3"/>
      <c r="O40" t="s">
        <v>26</v>
      </c>
    </row>
    <row r="41" spans="1:15">
      <c r="A41">
        <v>59</v>
      </c>
      <c r="B41" t="s">
        <v>41</v>
      </c>
      <c r="C41" t="s">
        <v>42</v>
      </c>
      <c r="E41">
        <f t="shared" si="8"/>
        <v>2934.4568000000004</v>
      </c>
      <c r="F41">
        <v>2912.4749000000002</v>
      </c>
      <c r="G41">
        <f t="shared" si="9"/>
        <v>1456.7411000000002</v>
      </c>
      <c r="H41">
        <f t="shared" si="6"/>
        <v>971.49650000000008</v>
      </c>
      <c r="I41">
        <f t="shared" si="7"/>
        <v>728.87420000000009</v>
      </c>
      <c r="J41" s="3"/>
      <c r="K41" s="3"/>
      <c r="O41" t="s">
        <v>26</v>
      </c>
    </row>
    <row r="42" spans="1:15">
      <c r="A42">
        <v>60</v>
      </c>
      <c r="C42" t="s">
        <v>106</v>
      </c>
      <c r="E42">
        <f t="shared" si="8"/>
        <v>2966.4717000000001</v>
      </c>
      <c r="F42">
        <v>2944.4897999999998</v>
      </c>
      <c r="G42">
        <f t="shared" si="9"/>
        <v>1472.74855</v>
      </c>
      <c r="H42">
        <f t="shared" si="6"/>
        <v>982.16813333333323</v>
      </c>
      <c r="I42">
        <f t="shared" si="7"/>
        <v>736.877925</v>
      </c>
      <c r="J42" s="3"/>
      <c r="K42" s="3"/>
      <c r="O42" t="s">
        <v>26</v>
      </c>
    </row>
    <row r="43" spans="1:15">
      <c r="A43">
        <v>61</v>
      </c>
      <c r="B43" t="s">
        <v>107</v>
      </c>
      <c r="C43" t="s">
        <v>108</v>
      </c>
      <c r="E43">
        <f t="shared" si="8"/>
        <v>2983.4871000000003</v>
      </c>
      <c r="F43">
        <v>2961.5052000000001</v>
      </c>
      <c r="G43">
        <f t="shared" si="9"/>
        <v>1481.2562500000001</v>
      </c>
      <c r="H43">
        <f t="shared" si="6"/>
        <v>987.83993333333331</v>
      </c>
      <c r="I43">
        <f t="shared" si="7"/>
        <v>741.13177500000006</v>
      </c>
      <c r="J43" s="3"/>
      <c r="K43" s="3"/>
      <c r="O43" t="s">
        <v>26</v>
      </c>
    </row>
    <row r="44" spans="1:15">
      <c r="A44" t="s">
        <v>109</v>
      </c>
      <c r="B44" t="s">
        <v>110</v>
      </c>
      <c r="C44" t="s">
        <v>111</v>
      </c>
      <c r="E44">
        <f t="shared" si="8"/>
        <v>2983.4871000000003</v>
      </c>
      <c r="F44">
        <v>2961.5052000000001</v>
      </c>
      <c r="G44">
        <f t="shared" si="9"/>
        <v>1481.2562500000001</v>
      </c>
      <c r="H44">
        <f t="shared" si="6"/>
        <v>987.83993333333331</v>
      </c>
      <c r="I44">
        <f t="shared" si="7"/>
        <v>741.13177500000006</v>
      </c>
      <c r="J44" s="3"/>
      <c r="K44" s="3"/>
      <c r="O44" t="s">
        <v>26</v>
      </c>
    </row>
    <row r="45" spans="1:15">
      <c r="A45">
        <v>65</v>
      </c>
      <c r="C45" t="s">
        <v>112</v>
      </c>
      <c r="E45">
        <f t="shared" si="8"/>
        <v>2996.4823000000001</v>
      </c>
      <c r="F45">
        <v>2974.5003999999999</v>
      </c>
      <c r="G45">
        <f t="shared" si="9"/>
        <v>1487.7538500000001</v>
      </c>
      <c r="H45">
        <f t="shared" si="6"/>
        <v>992.17166666666662</v>
      </c>
      <c r="I45">
        <f t="shared" si="7"/>
        <v>744.38057500000002</v>
      </c>
      <c r="J45" s="3"/>
      <c r="K45" s="3"/>
      <c r="O45" t="s">
        <v>26</v>
      </c>
    </row>
    <row r="46" spans="1:15">
      <c r="A46">
        <v>66</v>
      </c>
      <c r="C46" t="s">
        <v>113</v>
      </c>
      <c r="E46">
        <f t="shared" si="8"/>
        <v>3000.5024000000003</v>
      </c>
      <c r="F46">
        <v>2978.5205000000001</v>
      </c>
      <c r="G46">
        <f t="shared" si="9"/>
        <v>1489.7639000000001</v>
      </c>
      <c r="H46">
        <f t="shared" si="6"/>
        <v>993.51170000000002</v>
      </c>
      <c r="I46">
        <f t="shared" si="7"/>
        <v>745.38560000000007</v>
      </c>
      <c r="J46" s="3"/>
      <c r="K46" s="3"/>
      <c r="O46" t="s">
        <v>26</v>
      </c>
    </row>
    <row r="47" spans="1:15">
      <c r="A47" t="s">
        <v>114</v>
      </c>
      <c r="B47" t="s">
        <v>97</v>
      </c>
      <c r="C47" t="s">
        <v>115</v>
      </c>
      <c r="E47">
        <f t="shared" si="8"/>
        <v>3013.4976000000001</v>
      </c>
      <c r="F47">
        <v>2991.5156999999999</v>
      </c>
      <c r="G47">
        <f t="shared" si="9"/>
        <v>1496.2615000000001</v>
      </c>
      <c r="H47">
        <f t="shared" si="6"/>
        <v>997.84343333333334</v>
      </c>
      <c r="I47">
        <f t="shared" si="7"/>
        <v>748.63440000000003</v>
      </c>
      <c r="J47" s="3"/>
      <c r="K47" s="3"/>
      <c r="O47" t="s">
        <v>26</v>
      </c>
    </row>
    <row r="48" spans="1:15">
      <c r="C48" t="s">
        <v>149</v>
      </c>
      <c r="E48">
        <f t="shared" ref="E48" si="10">F48+21.9819</f>
        <v>3013.4976000000001</v>
      </c>
      <c r="F48">
        <v>2991.5156999999999</v>
      </c>
      <c r="G48">
        <f t="shared" ref="G48" si="11">(F48+1.0073)/2</f>
        <v>1496.2615000000001</v>
      </c>
      <c r="H48">
        <f t="shared" ref="H48" si="12">(F48+1.0073*2)/3</f>
        <v>997.84343333333334</v>
      </c>
      <c r="I48">
        <f t="shared" ref="I48" si="13">(F48+1.0073*3)/4</f>
        <v>748.63440000000003</v>
      </c>
      <c r="J48" s="3"/>
      <c r="K48" s="3"/>
    </row>
    <row r="49" spans="1:15">
      <c r="C49" t="s">
        <v>116</v>
      </c>
      <c r="E49">
        <f t="shared" si="8"/>
        <v>3013.4976000000001</v>
      </c>
      <c r="F49">
        <v>2991.5156999999999</v>
      </c>
      <c r="G49">
        <f t="shared" si="9"/>
        <v>1496.2615000000001</v>
      </c>
      <c r="H49">
        <f t="shared" si="6"/>
        <v>997.84343333333334</v>
      </c>
      <c r="I49">
        <f t="shared" si="7"/>
        <v>748.63440000000003</v>
      </c>
      <c r="J49" s="3"/>
      <c r="K49" s="3"/>
      <c r="O49" t="s">
        <v>29</v>
      </c>
    </row>
    <row r="50" spans="1:15">
      <c r="A50" t="s">
        <v>117</v>
      </c>
      <c r="B50" t="s">
        <v>110</v>
      </c>
      <c r="C50" t="s">
        <v>118</v>
      </c>
      <c r="E50">
        <f t="shared" si="8"/>
        <v>3054.5242000000003</v>
      </c>
      <c r="F50">
        <v>3032.5423000000001</v>
      </c>
      <c r="G50">
        <f t="shared" si="9"/>
        <v>1516.7748000000001</v>
      </c>
      <c r="H50">
        <f t="shared" si="6"/>
        <v>1011.5189666666666</v>
      </c>
      <c r="I50">
        <f t="shared" si="7"/>
        <v>758.89105000000006</v>
      </c>
      <c r="J50" s="3"/>
      <c r="K50" s="3"/>
      <c r="O50" t="s">
        <v>26</v>
      </c>
    </row>
    <row r="51" spans="1:15">
      <c r="C51" t="s">
        <v>119</v>
      </c>
      <c r="E51">
        <f t="shared" si="8"/>
        <v>3054.5242000000003</v>
      </c>
      <c r="F51">
        <v>3032.5423000000001</v>
      </c>
      <c r="G51">
        <f t="shared" si="9"/>
        <v>1516.7748000000001</v>
      </c>
      <c r="H51">
        <f t="shared" si="6"/>
        <v>1011.5189666666666</v>
      </c>
      <c r="I51">
        <f t="shared" si="7"/>
        <v>758.89105000000006</v>
      </c>
      <c r="J51" s="3"/>
      <c r="K51" s="3"/>
      <c r="O51" t="s">
        <v>29</v>
      </c>
    </row>
    <row r="52" spans="1:15">
      <c r="A52" t="s">
        <v>120</v>
      </c>
      <c r="B52" t="s">
        <v>121</v>
      </c>
      <c r="C52" t="s">
        <v>122</v>
      </c>
      <c r="E52">
        <f t="shared" si="8"/>
        <v>3071.5395000000003</v>
      </c>
      <c r="F52">
        <v>3049.5576000000001</v>
      </c>
      <c r="G52">
        <f t="shared" si="9"/>
        <v>1525.2824500000002</v>
      </c>
      <c r="H52">
        <f t="shared" si="6"/>
        <v>1017.1907333333334</v>
      </c>
      <c r="I52">
        <f t="shared" si="7"/>
        <v>763.14487500000007</v>
      </c>
      <c r="J52" s="3"/>
      <c r="K52" s="3"/>
      <c r="O52" t="s">
        <v>26</v>
      </c>
    </row>
    <row r="53" spans="1:15">
      <c r="A53">
        <v>74</v>
      </c>
      <c r="B53" t="s">
        <v>107</v>
      </c>
      <c r="C53" t="s">
        <v>123</v>
      </c>
      <c r="E53">
        <f t="shared" si="8"/>
        <v>3129.5450000000001</v>
      </c>
      <c r="F53">
        <v>3107.5630999999998</v>
      </c>
      <c r="G53">
        <f t="shared" si="9"/>
        <v>1554.2852</v>
      </c>
      <c r="H53">
        <f t="shared" si="6"/>
        <v>1036.5258999999999</v>
      </c>
      <c r="I53">
        <f t="shared" si="7"/>
        <v>777.64625000000001</v>
      </c>
      <c r="J53" s="3"/>
      <c r="K53" s="3"/>
      <c r="O53" t="s">
        <v>26</v>
      </c>
    </row>
    <row r="54" spans="1:15">
      <c r="A54" t="s">
        <v>124</v>
      </c>
      <c r="B54" t="s">
        <v>110</v>
      </c>
      <c r="C54" t="s">
        <v>125</v>
      </c>
      <c r="E54">
        <f t="shared" si="8"/>
        <v>3170.5715</v>
      </c>
      <c r="F54">
        <v>3148.5895999999998</v>
      </c>
      <c r="G54">
        <f t="shared" si="9"/>
        <v>1574.79845</v>
      </c>
      <c r="H54">
        <f t="shared" si="6"/>
        <v>1050.2013999999999</v>
      </c>
      <c r="I54">
        <f t="shared" si="7"/>
        <v>787.90287499999999</v>
      </c>
      <c r="J54" s="3"/>
      <c r="K54" s="3"/>
      <c r="O54" t="s">
        <v>26</v>
      </c>
    </row>
    <row r="55" spans="1:15">
      <c r="C55" t="s">
        <v>126</v>
      </c>
      <c r="E55">
        <f t="shared" si="8"/>
        <v>3170.5715</v>
      </c>
      <c r="F55">
        <v>3148.5895999999998</v>
      </c>
      <c r="G55">
        <f t="shared" si="9"/>
        <v>1574.79845</v>
      </c>
      <c r="H55">
        <f t="shared" si="6"/>
        <v>1050.2013999999999</v>
      </c>
      <c r="I55">
        <f t="shared" si="7"/>
        <v>787.90287499999999</v>
      </c>
      <c r="J55" s="3"/>
      <c r="K55" s="3"/>
      <c r="O55" t="s">
        <v>29</v>
      </c>
    </row>
    <row r="56" spans="1:15">
      <c r="A56">
        <v>77</v>
      </c>
      <c r="B56" t="s">
        <v>45</v>
      </c>
      <c r="C56" t="s">
        <v>46</v>
      </c>
      <c r="E56">
        <f t="shared" si="8"/>
        <v>3187.5868</v>
      </c>
      <c r="F56">
        <v>3165.6048999999998</v>
      </c>
      <c r="G56">
        <f t="shared" si="9"/>
        <v>1583.3061</v>
      </c>
      <c r="H56">
        <f t="shared" si="6"/>
        <v>1055.8731666666665</v>
      </c>
      <c r="I56">
        <f t="shared" si="7"/>
        <v>792.1567</v>
      </c>
      <c r="J56" s="3"/>
      <c r="K56" s="3"/>
      <c r="O56" t="s">
        <v>26</v>
      </c>
    </row>
    <row r="57" spans="1:15">
      <c r="A57">
        <v>78</v>
      </c>
      <c r="B57" t="s">
        <v>97</v>
      </c>
      <c r="C57" t="s">
        <v>127</v>
      </c>
      <c r="E57">
        <f t="shared" si="8"/>
        <v>3187.5868</v>
      </c>
      <c r="F57">
        <v>3165.6048999999998</v>
      </c>
      <c r="G57">
        <f t="shared" si="9"/>
        <v>1583.3061</v>
      </c>
      <c r="H57">
        <f t="shared" si="6"/>
        <v>1055.8731666666665</v>
      </c>
      <c r="I57">
        <f t="shared" si="7"/>
        <v>792.1567</v>
      </c>
      <c r="J57" s="3"/>
      <c r="K57" s="3"/>
      <c r="O57" t="s">
        <v>26</v>
      </c>
    </row>
    <row r="58" spans="1:15">
      <c r="A58" t="s">
        <v>128</v>
      </c>
      <c r="B58" t="s">
        <v>129</v>
      </c>
      <c r="C58" t="s">
        <v>130</v>
      </c>
      <c r="E58">
        <f t="shared" si="8"/>
        <v>3200.5821000000001</v>
      </c>
      <c r="F58">
        <v>3178.6001999999999</v>
      </c>
      <c r="G58">
        <f t="shared" si="9"/>
        <v>1589.80375</v>
      </c>
      <c r="H58">
        <f t="shared" si="6"/>
        <v>1060.2049333333332</v>
      </c>
      <c r="I58">
        <f t="shared" si="7"/>
        <v>795.40552500000001</v>
      </c>
      <c r="J58" s="3"/>
      <c r="K58" s="3"/>
      <c r="O58" t="s">
        <v>26</v>
      </c>
    </row>
    <row r="59" spans="1:15">
      <c r="A59">
        <v>81</v>
      </c>
      <c r="B59" t="s">
        <v>45</v>
      </c>
      <c r="C59" t="s">
        <v>47</v>
      </c>
      <c r="E59">
        <f t="shared" si="8"/>
        <v>3217.5974000000001</v>
      </c>
      <c r="F59">
        <v>3195.6154999999999</v>
      </c>
      <c r="G59">
        <f t="shared" si="9"/>
        <v>1598.3114</v>
      </c>
      <c r="H59">
        <f t="shared" si="6"/>
        <v>1065.8767</v>
      </c>
      <c r="I59">
        <f t="shared" si="7"/>
        <v>799.65935000000002</v>
      </c>
      <c r="J59" s="3"/>
      <c r="K59" s="3"/>
      <c r="O59" t="s">
        <v>26</v>
      </c>
    </row>
    <row r="60" spans="1:15">
      <c r="A60" t="s">
        <v>59</v>
      </c>
      <c r="B60" t="s">
        <v>60</v>
      </c>
      <c r="C60" t="s">
        <v>61</v>
      </c>
      <c r="E60">
        <f t="shared" si="8"/>
        <v>3228.6134000000002</v>
      </c>
      <c r="F60">
        <v>3206.6315</v>
      </c>
      <c r="G60">
        <f t="shared" si="9"/>
        <v>1603.8194000000001</v>
      </c>
      <c r="H60">
        <f t="shared" si="6"/>
        <v>1069.5487000000001</v>
      </c>
      <c r="I60">
        <f t="shared" si="7"/>
        <v>802.41335000000004</v>
      </c>
      <c r="J60" s="3"/>
      <c r="K60" s="3"/>
      <c r="O60" t="s">
        <v>54</v>
      </c>
    </row>
    <row r="61" spans="1:15">
      <c r="A61">
        <v>85</v>
      </c>
      <c r="B61" t="s">
        <v>37</v>
      </c>
      <c r="C61" t="s">
        <v>48</v>
      </c>
      <c r="E61">
        <f t="shared" si="8"/>
        <v>3245.6287000000002</v>
      </c>
      <c r="F61">
        <v>3223.6468</v>
      </c>
      <c r="G61">
        <f t="shared" si="9"/>
        <v>1612.3270500000001</v>
      </c>
      <c r="H61">
        <f t="shared" si="6"/>
        <v>1075.2204666666667</v>
      </c>
      <c r="I61">
        <f t="shared" si="7"/>
        <v>806.66717500000004</v>
      </c>
      <c r="J61" s="3"/>
      <c r="K61" s="3"/>
      <c r="O61" t="s">
        <v>26</v>
      </c>
    </row>
    <row r="62" spans="1:15">
      <c r="A62">
        <v>86</v>
      </c>
      <c r="B62" t="s">
        <v>110</v>
      </c>
      <c r="C62" t="s">
        <v>131</v>
      </c>
      <c r="E62">
        <f t="shared" si="8"/>
        <v>3361.6760000000004</v>
      </c>
      <c r="F62">
        <v>3339.6941000000002</v>
      </c>
      <c r="G62">
        <f t="shared" si="9"/>
        <v>1670.3507000000002</v>
      </c>
      <c r="H62">
        <f t="shared" si="6"/>
        <v>1113.9029</v>
      </c>
      <c r="I62">
        <f t="shared" si="7"/>
        <v>835.67900000000009</v>
      </c>
      <c r="J62" s="3"/>
      <c r="K62" s="3"/>
      <c r="O62" t="s">
        <v>26</v>
      </c>
    </row>
    <row r="63" spans="1:15">
      <c r="A63" t="s">
        <v>132</v>
      </c>
      <c r="B63" t="s">
        <v>110</v>
      </c>
      <c r="C63" t="s">
        <v>133</v>
      </c>
      <c r="E63">
        <f t="shared" si="8"/>
        <v>3374.6713000000004</v>
      </c>
      <c r="F63">
        <v>3352.6894000000002</v>
      </c>
      <c r="G63">
        <f t="shared" si="9"/>
        <v>1676.8483500000002</v>
      </c>
      <c r="H63">
        <f t="shared" si="6"/>
        <v>1118.2346666666667</v>
      </c>
      <c r="I63">
        <f t="shared" si="7"/>
        <v>838.9278250000001</v>
      </c>
      <c r="J63" s="3"/>
      <c r="K63" s="3"/>
      <c r="O63" t="s">
        <v>26</v>
      </c>
    </row>
    <row r="64" spans="1:15">
      <c r="A64">
        <v>89</v>
      </c>
      <c r="B64" t="s">
        <v>45</v>
      </c>
      <c r="C64" t="s">
        <v>49</v>
      </c>
      <c r="E64">
        <f t="shared" si="8"/>
        <v>3548.7605000000003</v>
      </c>
      <c r="F64">
        <v>3526.7786000000001</v>
      </c>
      <c r="G64">
        <f t="shared" si="9"/>
        <v>1763.8929500000002</v>
      </c>
      <c r="H64">
        <f t="shared" si="6"/>
        <v>1176.2644</v>
      </c>
      <c r="I64">
        <f t="shared" si="7"/>
        <v>882.45012500000007</v>
      </c>
      <c r="J64" s="3"/>
      <c r="K64" s="3"/>
      <c r="O64" t="s">
        <v>26</v>
      </c>
    </row>
    <row r="65" spans="1:15">
      <c r="A65">
        <v>90</v>
      </c>
      <c r="B65" t="s">
        <v>45</v>
      </c>
      <c r="C65" t="s">
        <v>50</v>
      </c>
      <c r="E65">
        <f t="shared" si="8"/>
        <v>3578.7711000000004</v>
      </c>
      <c r="F65">
        <v>3556.7892000000002</v>
      </c>
      <c r="G65">
        <f t="shared" si="9"/>
        <v>1778.8982500000002</v>
      </c>
      <c r="H65">
        <f t="shared" si="6"/>
        <v>1186.2679333333333</v>
      </c>
      <c r="I65">
        <f t="shared" si="7"/>
        <v>889.95277500000009</v>
      </c>
      <c r="J65" s="3"/>
      <c r="K65" s="3"/>
      <c r="O65" t="s">
        <v>26</v>
      </c>
    </row>
    <row r="66" spans="1:15">
      <c r="A66">
        <v>91</v>
      </c>
      <c r="B66" t="s">
        <v>45</v>
      </c>
      <c r="C66" s="2" t="s">
        <v>51</v>
      </c>
      <c r="D66" s="2"/>
      <c r="E66">
        <f t="shared" si="8"/>
        <v>3608.7816000000003</v>
      </c>
      <c r="F66">
        <v>3586.7997</v>
      </c>
      <c r="G66">
        <f t="shared" si="9"/>
        <v>1793.9035000000001</v>
      </c>
      <c r="H66">
        <f t="shared" si="6"/>
        <v>1196.2714333333333</v>
      </c>
      <c r="I66">
        <f t="shared" si="7"/>
        <v>897.45540000000005</v>
      </c>
      <c r="J66" s="3"/>
      <c r="K66" s="3"/>
      <c r="O66" t="s">
        <v>26</v>
      </c>
    </row>
    <row r="67" spans="1:15">
      <c r="A67">
        <v>92</v>
      </c>
      <c r="C67" t="s">
        <v>134</v>
      </c>
      <c r="E67">
        <f t="shared" si="8"/>
        <v>3722.8497000000002</v>
      </c>
      <c r="F67">
        <v>3700.8678</v>
      </c>
      <c r="G67">
        <f t="shared" si="9"/>
        <v>1850.9375500000001</v>
      </c>
      <c r="H67">
        <f t="shared" si="6"/>
        <v>1234.2941333333333</v>
      </c>
      <c r="I67">
        <f t="shared" si="7"/>
        <v>925.97242500000004</v>
      </c>
      <c r="J67" s="3"/>
      <c r="K67" s="3"/>
      <c r="O67" t="s">
        <v>26</v>
      </c>
    </row>
    <row r="68" spans="1:15">
      <c r="A68">
        <v>93</v>
      </c>
      <c r="B68" t="s">
        <v>60</v>
      </c>
      <c r="C68" t="s">
        <v>135</v>
      </c>
      <c r="E68">
        <f t="shared" ref="E68:E70" si="14">F68+21.9819</f>
        <v>4359.1602999999996</v>
      </c>
      <c r="F68">
        <v>4337.1783999999998</v>
      </c>
      <c r="G68">
        <f t="shared" ref="G68:G70" si="15">(F68+1.0073)/2</f>
        <v>2169.09285</v>
      </c>
      <c r="H68">
        <f t="shared" si="6"/>
        <v>1446.3976666666667</v>
      </c>
      <c r="I68">
        <f t="shared" si="7"/>
        <v>1085.0500749999999</v>
      </c>
      <c r="J68" s="3"/>
      <c r="K68" s="3"/>
      <c r="O68" t="s">
        <v>26</v>
      </c>
    </row>
    <row r="69" spans="1:15">
      <c r="A69">
        <v>94</v>
      </c>
      <c r="B69" t="s">
        <v>136</v>
      </c>
      <c r="C69" t="s">
        <v>137</v>
      </c>
      <c r="E69">
        <f t="shared" si="14"/>
        <v>4737.3491999999997</v>
      </c>
      <c r="F69">
        <v>4715.3672999999999</v>
      </c>
      <c r="G69">
        <f t="shared" si="15"/>
        <v>2358.1873000000001</v>
      </c>
      <c r="H69">
        <f t="shared" si="6"/>
        <v>1572.4606333333334</v>
      </c>
      <c r="I69">
        <f t="shared" si="7"/>
        <v>1179.5972999999999</v>
      </c>
      <c r="J69" s="3"/>
      <c r="K69" s="3"/>
      <c r="O69" t="s">
        <v>26</v>
      </c>
    </row>
    <row r="70" spans="1:15">
      <c r="A70">
        <v>95</v>
      </c>
      <c r="B70" t="s">
        <v>138</v>
      </c>
      <c r="C70" t="s">
        <v>139</v>
      </c>
      <c r="E70">
        <f t="shared" si="14"/>
        <v>4739.3648999999996</v>
      </c>
      <c r="F70">
        <v>4717.3829999999998</v>
      </c>
      <c r="G70">
        <f t="shared" si="15"/>
        <v>2359.19515</v>
      </c>
      <c r="H70">
        <f t="shared" si="6"/>
        <v>1573.1325333333334</v>
      </c>
      <c r="I70">
        <f t="shared" si="7"/>
        <v>1180.1012249999999</v>
      </c>
      <c r="J70" s="3"/>
      <c r="K70" s="3"/>
      <c r="O70" t="s">
        <v>26</v>
      </c>
    </row>
  </sheetData>
  <autoFilter ref="A1:T1" xr:uid="{462C1F79-CAD9-4365-95EB-9CD91F872BD7}">
    <sortState xmlns:xlrd2="http://schemas.microsoft.com/office/spreadsheetml/2017/richdata2" ref="A2:T69">
      <sortCondition ref="E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0"/>
  <sheetViews>
    <sheetView tabSelected="1" topLeftCell="A88" workbookViewId="0">
      <selection activeCell="B192" sqref="B192"/>
    </sheetView>
  </sheetViews>
  <sheetFormatPr defaultRowHeight="16.5"/>
  <cols>
    <col min="1" max="2" width="18.375" customWidth="1"/>
  </cols>
  <sheetData>
    <row r="1" spans="1:11">
      <c r="A1" t="s">
        <v>321</v>
      </c>
      <c r="B1" t="s">
        <v>320</v>
      </c>
      <c r="C1" t="s">
        <v>201</v>
      </c>
      <c r="D1" t="s">
        <v>193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12</v>
      </c>
    </row>
    <row r="2" spans="1:11">
      <c r="A2" t="s">
        <v>162</v>
      </c>
      <c r="C2">
        <v>12636</v>
      </c>
      <c r="E2">
        <v>2</v>
      </c>
      <c r="F2" s="6">
        <v>0</v>
      </c>
      <c r="G2" t="s">
        <v>191</v>
      </c>
    </row>
    <row r="3" spans="1:11">
      <c r="A3" t="s">
        <v>162</v>
      </c>
      <c r="C3">
        <v>12798</v>
      </c>
      <c r="E3">
        <v>2</v>
      </c>
      <c r="F3" s="6">
        <v>0</v>
      </c>
      <c r="G3" t="s">
        <v>191</v>
      </c>
    </row>
    <row r="4" spans="1:11">
      <c r="A4" t="s">
        <v>162</v>
      </c>
      <c r="C4">
        <v>14353</v>
      </c>
      <c r="E4">
        <v>2</v>
      </c>
      <c r="F4" s="6">
        <v>0</v>
      </c>
      <c r="G4" t="s">
        <v>191</v>
      </c>
    </row>
    <row r="5" spans="1:11">
      <c r="A5" t="s">
        <v>162</v>
      </c>
      <c r="C5">
        <v>14199</v>
      </c>
      <c r="E5">
        <v>2</v>
      </c>
      <c r="F5" s="6">
        <v>0</v>
      </c>
      <c r="G5" t="s">
        <v>191</v>
      </c>
    </row>
    <row r="6" spans="1:11">
      <c r="A6" t="s">
        <v>167</v>
      </c>
      <c r="C6">
        <v>17172</v>
      </c>
      <c r="E6">
        <v>2</v>
      </c>
      <c r="F6" s="6">
        <v>0</v>
      </c>
      <c r="G6" t="s">
        <v>191</v>
      </c>
    </row>
    <row r="7" spans="1:11">
      <c r="A7" t="s">
        <v>167</v>
      </c>
      <c r="C7">
        <v>16060</v>
      </c>
      <c r="E7">
        <v>3</v>
      </c>
      <c r="F7" s="6">
        <v>0</v>
      </c>
      <c r="G7" t="s">
        <v>192</v>
      </c>
    </row>
    <row r="8" spans="1:11">
      <c r="A8" t="s">
        <v>167</v>
      </c>
      <c r="C8">
        <v>15485</v>
      </c>
      <c r="E8">
        <v>2</v>
      </c>
      <c r="F8" s="6">
        <v>0</v>
      </c>
      <c r="G8" t="s">
        <v>191</v>
      </c>
    </row>
    <row r="9" spans="1:11">
      <c r="A9" t="s">
        <v>167</v>
      </c>
      <c r="C9">
        <v>16239</v>
      </c>
      <c r="E9">
        <v>2</v>
      </c>
      <c r="F9" s="6">
        <v>0</v>
      </c>
      <c r="G9" t="s">
        <v>191</v>
      </c>
    </row>
    <row r="10" spans="1:11">
      <c r="A10" t="s">
        <v>167</v>
      </c>
      <c r="C10">
        <v>16204</v>
      </c>
      <c r="E10">
        <v>3</v>
      </c>
      <c r="F10" s="6">
        <v>0</v>
      </c>
      <c r="G10" t="s">
        <v>192</v>
      </c>
    </row>
    <row r="11" spans="1:11">
      <c r="A11" t="s">
        <v>167</v>
      </c>
      <c r="C11">
        <v>15922</v>
      </c>
      <c r="E11">
        <v>2</v>
      </c>
      <c r="F11" s="6">
        <v>0</v>
      </c>
      <c r="G11" t="s">
        <v>191</v>
      </c>
    </row>
    <row r="12" spans="1:11">
      <c r="A12" t="s">
        <v>167</v>
      </c>
      <c r="C12">
        <v>17720</v>
      </c>
      <c r="E12">
        <v>2</v>
      </c>
      <c r="F12" s="6">
        <v>0</v>
      </c>
      <c r="G12" t="s">
        <v>191</v>
      </c>
    </row>
    <row r="13" spans="1:11">
      <c r="A13" t="s">
        <v>167</v>
      </c>
      <c r="C13">
        <v>16094</v>
      </c>
      <c r="E13">
        <v>2</v>
      </c>
      <c r="F13" s="6">
        <v>0</v>
      </c>
      <c r="G13" t="s">
        <v>191</v>
      </c>
    </row>
    <row r="14" spans="1:11">
      <c r="A14" t="s">
        <v>167</v>
      </c>
      <c r="C14">
        <v>17537</v>
      </c>
      <c r="E14">
        <v>2</v>
      </c>
      <c r="F14" s="6">
        <v>0</v>
      </c>
      <c r="G14" t="s">
        <v>191</v>
      </c>
    </row>
    <row r="15" spans="1:11">
      <c r="A15" t="s">
        <v>167</v>
      </c>
      <c r="C15">
        <v>16424</v>
      </c>
      <c r="E15">
        <v>2</v>
      </c>
      <c r="F15" s="6">
        <v>0</v>
      </c>
      <c r="G15" t="s">
        <v>191</v>
      </c>
    </row>
    <row r="16" spans="1:11">
      <c r="A16" t="s">
        <v>167</v>
      </c>
      <c r="C16">
        <v>17353</v>
      </c>
      <c r="E16">
        <v>2</v>
      </c>
      <c r="F16" s="6">
        <v>0</v>
      </c>
      <c r="G16" t="s">
        <v>191</v>
      </c>
    </row>
    <row r="17" spans="1:7">
      <c r="A17" t="s">
        <v>165</v>
      </c>
      <c r="C17">
        <v>19126</v>
      </c>
      <c r="E17">
        <v>2</v>
      </c>
      <c r="F17" s="6">
        <v>0</v>
      </c>
      <c r="G17" t="s">
        <v>191</v>
      </c>
    </row>
    <row r="18" spans="1:7">
      <c r="A18" t="s">
        <v>169</v>
      </c>
      <c r="C18">
        <v>18562</v>
      </c>
      <c r="E18">
        <v>3</v>
      </c>
      <c r="F18" s="6">
        <v>0</v>
      </c>
      <c r="G18" t="s">
        <v>192</v>
      </c>
    </row>
    <row r="19" spans="1:7">
      <c r="A19" t="s">
        <v>169</v>
      </c>
      <c r="C19">
        <v>17392</v>
      </c>
      <c r="E19">
        <v>2</v>
      </c>
      <c r="F19" s="6">
        <v>0</v>
      </c>
      <c r="G19" t="s">
        <v>191</v>
      </c>
    </row>
    <row r="20" spans="1:7">
      <c r="A20" t="s">
        <v>169</v>
      </c>
      <c r="C20">
        <v>17247</v>
      </c>
      <c r="E20">
        <v>3</v>
      </c>
      <c r="F20" s="6">
        <v>0</v>
      </c>
      <c r="G20" t="s">
        <v>192</v>
      </c>
    </row>
    <row r="21" spans="1:7">
      <c r="A21" t="s">
        <v>169</v>
      </c>
      <c r="C21">
        <v>16833</v>
      </c>
      <c r="E21">
        <v>2</v>
      </c>
      <c r="F21" s="6">
        <v>0</v>
      </c>
      <c r="G21" t="s">
        <v>191</v>
      </c>
    </row>
    <row r="22" spans="1:7">
      <c r="A22" t="s">
        <v>169</v>
      </c>
      <c r="C22">
        <v>17205</v>
      </c>
      <c r="E22">
        <v>2</v>
      </c>
      <c r="F22" s="6">
        <v>0</v>
      </c>
      <c r="G22" t="s">
        <v>191</v>
      </c>
    </row>
    <row r="23" spans="1:7">
      <c r="A23" t="s">
        <v>169</v>
      </c>
      <c r="C23">
        <v>18250</v>
      </c>
      <c r="E23">
        <v>2</v>
      </c>
      <c r="F23" s="6">
        <v>0</v>
      </c>
      <c r="G23" t="s">
        <v>191</v>
      </c>
    </row>
    <row r="24" spans="1:7">
      <c r="A24" t="s">
        <v>169</v>
      </c>
      <c r="C24">
        <v>17021</v>
      </c>
      <c r="E24">
        <v>3</v>
      </c>
      <c r="F24" s="6">
        <v>0</v>
      </c>
      <c r="G24" t="s">
        <v>192</v>
      </c>
    </row>
    <row r="25" spans="1:7">
      <c r="A25" t="s">
        <v>169</v>
      </c>
      <c r="C25">
        <v>17020</v>
      </c>
      <c r="E25">
        <v>2</v>
      </c>
      <c r="F25" s="6">
        <v>0</v>
      </c>
      <c r="G25" t="s">
        <v>191</v>
      </c>
    </row>
    <row r="26" spans="1:7">
      <c r="A26" t="s">
        <v>169</v>
      </c>
      <c r="C26">
        <v>18589</v>
      </c>
      <c r="E26">
        <v>2</v>
      </c>
      <c r="F26" s="6">
        <v>0</v>
      </c>
      <c r="G26" t="s">
        <v>191</v>
      </c>
    </row>
    <row r="27" spans="1:7">
      <c r="A27" t="s">
        <v>169</v>
      </c>
      <c r="C27">
        <v>18431</v>
      </c>
      <c r="E27">
        <v>2</v>
      </c>
      <c r="F27" s="6">
        <v>0</v>
      </c>
      <c r="G27" t="s">
        <v>191</v>
      </c>
    </row>
    <row r="28" spans="1:7">
      <c r="A28" t="s">
        <v>171</v>
      </c>
      <c r="C28">
        <v>23988</v>
      </c>
      <c r="E28">
        <v>2</v>
      </c>
      <c r="F28" s="6">
        <v>0</v>
      </c>
      <c r="G28" t="s">
        <v>191</v>
      </c>
    </row>
    <row r="29" spans="1:7">
      <c r="A29" t="s">
        <v>171</v>
      </c>
      <c r="C29">
        <v>23871</v>
      </c>
      <c r="E29">
        <v>2</v>
      </c>
      <c r="F29" s="6">
        <v>0</v>
      </c>
      <c r="G29" t="s">
        <v>191</v>
      </c>
    </row>
    <row r="30" spans="1:7">
      <c r="A30" t="s">
        <v>171</v>
      </c>
      <c r="C30">
        <v>25242</v>
      </c>
      <c r="E30">
        <v>2</v>
      </c>
      <c r="F30" s="6">
        <v>0</v>
      </c>
      <c r="G30" t="s">
        <v>191</v>
      </c>
    </row>
    <row r="31" spans="1:7">
      <c r="A31" t="s">
        <v>171</v>
      </c>
      <c r="C31">
        <v>24039</v>
      </c>
      <c r="E31">
        <v>3</v>
      </c>
      <c r="F31" s="6">
        <v>0</v>
      </c>
      <c r="G31" t="s">
        <v>192</v>
      </c>
    </row>
    <row r="32" spans="1:7">
      <c r="A32" t="s">
        <v>173</v>
      </c>
      <c r="C32">
        <v>20605</v>
      </c>
      <c r="E32">
        <v>2</v>
      </c>
      <c r="F32" s="6">
        <v>0</v>
      </c>
      <c r="G32" t="s">
        <v>191</v>
      </c>
    </row>
    <row r="33" spans="1:7">
      <c r="A33" t="s">
        <v>173</v>
      </c>
      <c r="C33">
        <v>20523</v>
      </c>
      <c r="E33">
        <v>3</v>
      </c>
      <c r="F33" s="6">
        <v>0</v>
      </c>
      <c r="G33" t="s">
        <v>192</v>
      </c>
    </row>
    <row r="34" spans="1:7">
      <c r="A34" t="s">
        <v>173</v>
      </c>
      <c r="C34">
        <v>19425</v>
      </c>
      <c r="E34">
        <v>2</v>
      </c>
      <c r="F34" s="6">
        <v>0</v>
      </c>
      <c r="G34" t="s">
        <v>191</v>
      </c>
    </row>
    <row r="35" spans="1:7">
      <c r="A35" t="s">
        <v>173</v>
      </c>
      <c r="C35">
        <v>19348</v>
      </c>
      <c r="E35">
        <v>3</v>
      </c>
      <c r="F35" s="6">
        <v>0</v>
      </c>
      <c r="G35" t="s">
        <v>192</v>
      </c>
    </row>
    <row r="36" spans="1:7">
      <c r="A36" t="s">
        <v>168</v>
      </c>
      <c r="C36">
        <v>19314</v>
      </c>
      <c r="E36">
        <v>2</v>
      </c>
      <c r="F36" s="6">
        <v>0</v>
      </c>
      <c r="G36" t="s">
        <v>191</v>
      </c>
    </row>
    <row r="37" spans="1:7">
      <c r="A37" t="s">
        <v>168</v>
      </c>
      <c r="C37">
        <v>21263</v>
      </c>
      <c r="E37">
        <v>2</v>
      </c>
      <c r="F37" s="6">
        <v>0</v>
      </c>
      <c r="G37" t="s">
        <v>191</v>
      </c>
    </row>
    <row r="38" spans="1:7">
      <c r="A38" t="s">
        <v>168</v>
      </c>
      <c r="C38">
        <v>20896</v>
      </c>
      <c r="E38">
        <v>2</v>
      </c>
      <c r="F38" s="6">
        <v>0</v>
      </c>
      <c r="G38" t="s">
        <v>191</v>
      </c>
    </row>
    <row r="39" spans="1:7">
      <c r="A39" t="s">
        <v>168</v>
      </c>
      <c r="C39">
        <v>19550</v>
      </c>
      <c r="E39">
        <v>2</v>
      </c>
      <c r="F39" s="6">
        <v>0</v>
      </c>
      <c r="G39" t="s">
        <v>191</v>
      </c>
    </row>
    <row r="40" spans="1:7">
      <c r="A40" t="s">
        <v>172</v>
      </c>
      <c r="C40">
        <v>19313</v>
      </c>
      <c r="E40">
        <v>2</v>
      </c>
      <c r="F40" s="6">
        <v>0</v>
      </c>
      <c r="G40" t="s">
        <v>191</v>
      </c>
    </row>
    <row r="41" spans="1:7">
      <c r="A41" t="s">
        <v>172</v>
      </c>
      <c r="C41">
        <v>18066</v>
      </c>
      <c r="E41">
        <v>3</v>
      </c>
      <c r="F41" s="6">
        <v>0</v>
      </c>
      <c r="G41" t="s">
        <v>192</v>
      </c>
    </row>
    <row r="42" spans="1:7">
      <c r="A42" t="s">
        <v>172</v>
      </c>
      <c r="C42">
        <v>17770</v>
      </c>
      <c r="E42">
        <v>2</v>
      </c>
      <c r="F42" s="6">
        <v>0</v>
      </c>
      <c r="G42" t="s">
        <v>191</v>
      </c>
    </row>
    <row r="43" spans="1:7">
      <c r="A43" t="s">
        <v>172</v>
      </c>
      <c r="C43">
        <v>19301</v>
      </c>
      <c r="E43">
        <v>3</v>
      </c>
      <c r="F43" s="6">
        <v>0</v>
      </c>
      <c r="G43" t="s">
        <v>192</v>
      </c>
    </row>
    <row r="44" spans="1:7">
      <c r="A44" t="s">
        <v>172</v>
      </c>
      <c r="C44">
        <v>19409</v>
      </c>
      <c r="E44">
        <v>3</v>
      </c>
      <c r="F44" s="6">
        <v>0</v>
      </c>
      <c r="G44" t="s">
        <v>192</v>
      </c>
    </row>
    <row r="45" spans="1:7">
      <c r="A45" t="s">
        <v>172</v>
      </c>
      <c r="C45">
        <v>19491</v>
      </c>
      <c r="E45">
        <v>3</v>
      </c>
      <c r="F45" s="6">
        <v>0</v>
      </c>
      <c r="G45" t="s">
        <v>192</v>
      </c>
    </row>
    <row r="46" spans="1:7">
      <c r="A46" t="s">
        <v>172</v>
      </c>
      <c r="C46">
        <v>17954</v>
      </c>
      <c r="E46">
        <v>2</v>
      </c>
      <c r="F46" s="6">
        <v>0</v>
      </c>
      <c r="G46" t="s">
        <v>191</v>
      </c>
    </row>
    <row r="47" spans="1:7">
      <c r="A47" t="s">
        <v>172</v>
      </c>
      <c r="C47">
        <v>17882</v>
      </c>
      <c r="E47">
        <v>3</v>
      </c>
      <c r="F47" s="6">
        <v>0</v>
      </c>
      <c r="G47" t="s">
        <v>192</v>
      </c>
    </row>
    <row r="48" spans="1:7">
      <c r="A48" t="s">
        <v>170</v>
      </c>
      <c r="C48">
        <v>19211</v>
      </c>
      <c r="E48">
        <v>3</v>
      </c>
      <c r="F48" s="6">
        <v>0</v>
      </c>
      <c r="G48" t="s">
        <v>192</v>
      </c>
    </row>
    <row r="49" spans="1:7">
      <c r="A49" t="s">
        <v>170</v>
      </c>
      <c r="C49">
        <v>19231</v>
      </c>
      <c r="E49">
        <v>2</v>
      </c>
      <c r="F49" s="6">
        <v>0</v>
      </c>
      <c r="G49" t="s">
        <v>191</v>
      </c>
    </row>
    <row r="50" spans="1:7">
      <c r="A50" t="s">
        <v>179</v>
      </c>
      <c r="C50">
        <v>31458</v>
      </c>
      <c r="E50">
        <v>2</v>
      </c>
      <c r="F50" s="6">
        <v>0</v>
      </c>
      <c r="G50" t="s">
        <v>191</v>
      </c>
    </row>
    <row r="51" spans="1:7">
      <c r="A51" t="s">
        <v>179</v>
      </c>
      <c r="C51">
        <v>31272</v>
      </c>
      <c r="E51">
        <v>3</v>
      </c>
      <c r="F51" s="6">
        <v>0</v>
      </c>
      <c r="G51" t="s">
        <v>192</v>
      </c>
    </row>
    <row r="52" spans="1:7">
      <c r="A52" t="s">
        <v>179</v>
      </c>
      <c r="C52">
        <v>31457</v>
      </c>
      <c r="E52">
        <v>3</v>
      </c>
      <c r="F52" s="6">
        <v>0</v>
      </c>
      <c r="G52" t="s">
        <v>192</v>
      </c>
    </row>
    <row r="53" spans="1:7">
      <c r="A53" t="s">
        <v>179</v>
      </c>
      <c r="C53">
        <v>30330</v>
      </c>
      <c r="E53">
        <v>2</v>
      </c>
      <c r="F53" s="6">
        <v>0</v>
      </c>
      <c r="G53" t="s">
        <v>191</v>
      </c>
    </row>
    <row r="54" spans="1:7">
      <c r="A54" t="s">
        <v>179</v>
      </c>
      <c r="C54">
        <v>30446</v>
      </c>
      <c r="E54">
        <v>3</v>
      </c>
      <c r="F54" s="6">
        <v>0</v>
      </c>
      <c r="G54" t="s">
        <v>192</v>
      </c>
    </row>
    <row r="55" spans="1:7">
      <c r="A55" t="s">
        <v>179</v>
      </c>
      <c r="C55">
        <v>30292</v>
      </c>
      <c r="E55">
        <v>3</v>
      </c>
      <c r="F55" s="6">
        <v>0</v>
      </c>
      <c r="G55" t="s">
        <v>192</v>
      </c>
    </row>
    <row r="56" spans="1:7">
      <c r="A56" t="s">
        <v>175</v>
      </c>
      <c r="C56">
        <v>19532</v>
      </c>
      <c r="E56">
        <v>2</v>
      </c>
      <c r="F56" s="6">
        <v>0</v>
      </c>
      <c r="G56" t="s">
        <v>191</v>
      </c>
    </row>
    <row r="57" spans="1:7">
      <c r="A57" t="s">
        <v>175</v>
      </c>
      <c r="C57">
        <v>20719</v>
      </c>
      <c r="E57">
        <v>3</v>
      </c>
      <c r="F57" s="6">
        <v>0</v>
      </c>
      <c r="G57" t="s">
        <v>192</v>
      </c>
    </row>
    <row r="58" spans="1:7">
      <c r="A58" t="s">
        <v>175</v>
      </c>
      <c r="C58">
        <v>21037</v>
      </c>
      <c r="E58">
        <v>2</v>
      </c>
      <c r="F58" s="6">
        <v>0</v>
      </c>
      <c r="G58" t="s">
        <v>191</v>
      </c>
    </row>
    <row r="59" spans="1:7">
      <c r="A59" t="s">
        <v>175</v>
      </c>
      <c r="C59">
        <v>21276</v>
      </c>
      <c r="E59">
        <v>2</v>
      </c>
      <c r="F59" s="6">
        <v>0</v>
      </c>
      <c r="G59" t="s">
        <v>191</v>
      </c>
    </row>
    <row r="60" spans="1:7">
      <c r="A60" t="s">
        <v>175</v>
      </c>
      <c r="C60">
        <v>20899</v>
      </c>
      <c r="E60">
        <v>3</v>
      </c>
      <c r="F60" s="6">
        <v>0</v>
      </c>
      <c r="G60" t="s">
        <v>192</v>
      </c>
    </row>
    <row r="61" spans="1:7">
      <c r="A61" t="s">
        <v>175</v>
      </c>
      <c r="C61">
        <v>20204</v>
      </c>
      <c r="E61">
        <v>2</v>
      </c>
      <c r="F61" s="6">
        <v>0</v>
      </c>
      <c r="G61" t="s">
        <v>191</v>
      </c>
    </row>
    <row r="62" spans="1:7">
      <c r="A62" t="s">
        <v>175</v>
      </c>
      <c r="C62">
        <v>21345</v>
      </c>
      <c r="E62">
        <v>3</v>
      </c>
      <c r="F62" s="6">
        <v>0</v>
      </c>
      <c r="G62" t="s">
        <v>192</v>
      </c>
    </row>
    <row r="63" spans="1:7">
      <c r="A63" t="s">
        <v>175</v>
      </c>
      <c r="C63">
        <v>20161</v>
      </c>
      <c r="E63">
        <v>3</v>
      </c>
      <c r="F63" s="6">
        <v>0</v>
      </c>
      <c r="G63" t="s">
        <v>192</v>
      </c>
    </row>
    <row r="64" spans="1:7">
      <c r="A64" t="s">
        <v>175</v>
      </c>
      <c r="C64">
        <v>21144</v>
      </c>
      <c r="E64">
        <v>3</v>
      </c>
      <c r="F64" s="6">
        <v>0</v>
      </c>
      <c r="G64" t="s">
        <v>192</v>
      </c>
    </row>
    <row r="65" spans="1:7">
      <c r="A65" t="s">
        <v>175</v>
      </c>
      <c r="C65">
        <v>21080</v>
      </c>
      <c r="E65">
        <v>2</v>
      </c>
      <c r="F65" s="6">
        <v>0</v>
      </c>
      <c r="G65" t="s">
        <v>191</v>
      </c>
    </row>
    <row r="66" spans="1:7">
      <c r="A66" t="s">
        <v>175</v>
      </c>
      <c r="C66">
        <v>20021</v>
      </c>
      <c r="E66">
        <v>2</v>
      </c>
      <c r="F66" s="6">
        <v>0</v>
      </c>
      <c r="G66" t="s">
        <v>191</v>
      </c>
    </row>
    <row r="67" spans="1:7">
      <c r="A67" t="s">
        <v>175</v>
      </c>
      <c r="C67">
        <v>19816</v>
      </c>
      <c r="E67">
        <v>2</v>
      </c>
      <c r="F67" s="6">
        <v>0</v>
      </c>
      <c r="G67" t="s">
        <v>191</v>
      </c>
    </row>
    <row r="68" spans="1:7">
      <c r="A68" t="s">
        <v>175</v>
      </c>
      <c r="C68">
        <v>20008</v>
      </c>
      <c r="E68">
        <v>3</v>
      </c>
      <c r="F68" s="6">
        <v>0</v>
      </c>
      <c r="G68" t="s">
        <v>192</v>
      </c>
    </row>
    <row r="69" spans="1:7">
      <c r="A69" t="s">
        <v>175</v>
      </c>
      <c r="C69">
        <v>19813</v>
      </c>
      <c r="E69">
        <v>3</v>
      </c>
      <c r="F69" s="6">
        <v>0</v>
      </c>
      <c r="G69" t="s">
        <v>192</v>
      </c>
    </row>
    <row r="70" spans="1:7">
      <c r="A70" t="s">
        <v>180</v>
      </c>
      <c r="C70">
        <v>30609</v>
      </c>
      <c r="E70">
        <v>3</v>
      </c>
      <c r="F70" s="6">
        <v>0</v>
      </c>
      <c r="G70" t="s">
        <v>192</v>
      </c>
    </row>
    <row r="71" spans="1:7">
      <c r="A71" t="s">
        <v>180</v>
      </c>
      <c r="C71">
        <v>30458</v>
      </c>
      <c r="E71">
        <v>2</v>
      </c>
      <c r="F71" s="6">
        <v>0</v>
      </c>
      <c r="G71" t="s">
        <v>191</v>
      </c>
    </row>
    <row r="72" spans="1:7">
      <c r="A72" t="s">
        <v>180</v>
      </c>
      <c r="C72">
        <v>30411</v>
      </c>
      <c r="E72">
        <v>2</v>
      </c>
      <c r="F72" s="6">
        <v>0</v>
      </c>
      <c r="G72" t="s">
        <v>191</v>
      </c>
    </row>
    <row r="73" spans="1:7">
      <c r="A73" t="s">
        <v>180</v>
      </c>
      <c r="C73">
        <v>30333</v>
      </c>
      <c r="E73">
        <v>2</v>
      </c>
      <c r="F73" s="6">
        <v>0</v>
      </c>
      <c r="G73" t="s">
        <v>191</v>
      </c>
    </row>
    <row r="74" spans="1:7">
      <c r="A74" t="s">
        <v>174</v>
      </c>
      <c r="C74">
        <v>25410</v>
      </c>
      <c r="E74">
        <v>3</v>
      </c>
      <c r="F74" s="6">
        <v>0</v>
      </c>
      <c r="G74" t="s">
        <v>192</v>
      </c>
    </row>
    <row r="75" spans="1:7">
      <c r="A75" t="s">
        <v>174</v>
      </c>
      <c r="C75">
        <v>25012</v>
      </c>
      <c r="E75">
        <v>3</v>
      </c>
      <c r="F75" s="6">
        <v>0</v>
      </c>
      <c r="G75" t="s">
        <v>192</v>
      </c>
    </row>
    <row r="76" spans="1:7">
      <c r="A76" t="s">
        <v>174</v>
      </c>
      <c r="C76">
        <v>19376</v>
      </c>
      <c r="E76">
        <v>2</v>
      </c>
      <c r="F76" s="6">
        <v>0</v>
      </c>
      <c r="G76" t="s">
        <v>191</v>
      </c>
    </row>
    <row r="77" spans="1:7">
      <c r="A77" t="s">
        <v>174</v>
      </c>
      <c r="C77">
        <v>25253</v>
      </c>
      <c r="E77">
        <v>2</v>
      </c>
      <c r="F77" s="6">
        <v>0</v>
      </c>
      <c r="G77" t="s">
        <v>191</v>
      </c>
    </row>
    <row r="78" spans="1:7">
      <c r="A78" t="s">
        <v>174</v>
      </c>
      <c r="C78">
        <v>24797</v>
      </c>
      <c r="E78">
        <v>2</v>
      </c>
      <c r="F78" s="6">
        <v>0</v>
      </c>
      <c r="G78" t="s">
        <v>191</v>
      </c>
    </row>
    <row r="79" spans="1:7">
      <c r="A79" t="s">
        <v>174</v>
      </c>
      <c r="C79">
        <v>26112</v>
      </c>
      <c r="E79">
        <v>3</v>
      </c>
      <c r="F79" s="6">
        <v>0</v>
      </c>
      <c r="G79" t="s">
        <v>192</v>
      </c>
    </row>
    <row r="80" spans="1:7">
      <c r="A80" t="s">
        <v>174</v>
      </c>
      <c r="C80">
        <v>25865</v>
      </c>
      <c r="E80">
        <v>3</v>
      </c>
      <c r="F80" s="6">
        <v>0</v>
      </c>
      <c r="G80" t="s">
        <v>192</v>
      </c>
    </row>
    <row r="81" spans="1:7">
      <c r="A81" t="s">
        <v>174</v>
      </c>
      <c r="C81">
        <v>18942</v>
      </c>
      <c r="E81">
        <v>2</v>
      </c>
      <c r="F81" s="6">
        <v>0</v>
      </c>
      <c r="G81" t="s">
        <v>191</v>
      </c>
    </row>
    <row r="82" spans="1:7">
      <c r="A82" t="s">
        <v>174</v>
      </c>
      <c r="C82">
        <v>18338</v>
      </c>
      <c r="E82">
        <v>2</v>
      </c>
      <c r="F82" s="6">
        <v>0</v>
      </c>
      <c r="G82" t="s">
        <v>191</v>
      </c>
    </row>
    <row r="83" spans="1:7">
      <c r="A83" t="s">
        <v>174</v>
      </c>
      <c r="C83">
        <v>25769</v>
      </c>
      <c r="E83">
        <v>2</v>
      </c>
      <c r="F83" s="6">
        <v>0</v>
      </c>
      <c r="G83" t="s">
        <v>191</v>
      </c>
    </row>
    <row r="84" spans="1:7">
      <c r="A84" t="s">
        <v>174</v>
      </c>
      <c r="C84">
        <v>25000</v>
      </c>
      <c r="E84">
        <v>2</v>
      </c>
      <c r="F84" s="6">
        <v>0</v>
      </c>
      <c r="G84" t="s">
        <v>191</v>
      </c>
    </row>
    <row r="85" spans="1:7">
      <c r="A85" t="s">
        <v>174</v>
      </c>
      <c r="C85">
        <v>25965</v>
      </c>
      <c r="E85">
        <v>2</v>
      </c>
      <c r="F85" s="6">
        <v>0</v>
      </c>
      <c r="G85" t="s">
        <v>191</v>
      </c>
    </row>
    <row r="86" spans="1:7">
      <c r="A86" t="s">
        <v>174</v>
      </c>
      <c r="C86">
        <v>18563</v>
      </c>
      <c r="E86">
        <v>2</v>
      </c>
      <c r="F86" s="6">
        <v>0</v>
      </c>
      <c r="G86" t="s">
        <v>191</v>
      </c>
    </row>
    <row r="87" spans="1:7">
      <c r="A87" t="s">
        <v>174</v>
      </c>
      <c r="C87">
        <v>24766</v>
      </c>
      <c r="E87">
        <v>3</v>
      </c>
      <c r="F87" s="6">
        <v>0</v>
      </c>
      <c r="G87" t="s">
        <v>192</v>
      </c>
    </row>
    <row r="88" spans="1:7">
      <c r="A88" t="s">
        <v>174</v>
      </c>
      <c r="C88">
        <v>18746</v>
      </c>
      <c r="E88">
        <v>2</v>
      </c>
      <c r="F88" s="6">
        <v>0</v>
      </c>
      <c r="G88" t="s">
        <v>191</v>
      </c>
    </row>
    <row r="89" spans="1:7">
      <c r="A89" t="s">
        <v>174</v>
      </c>
      <c r="C89">
        <v>24637</v>
      </c>
      <c r="E89">
        <v>2</v>
      </c>
      <c r="F89" s="6">
        <v>0</v>
      </c>
      <c r="G89" t="s">
        <v>191</v>
      </c>
    </row>
    <row r="90" spans="1:7">
      <c r="A90" t="s">
        <v>174</v>
      </c>
      <c r="C90">
        <v>18612</v>
      </c>
      <c r="E90">
        <v>3</v>
      </c>
      <c r="F90" s="6">
        <v>0</v>
      </c>
      <c r="G90" t="s">
        <v>192</v>
      </c>
    </row>
    <row r="91" spans="1:7">
      <c r="A91" t="s">
        <v>174</v>
      </c>
      <c r="C91">
        <v>25668</v>
      </c>
      <c r="E91">
        <v>3</v>
      </c>
      <c r="F91" s="6">
        <v>0</v>
      </c>
      <c r="G91" t="s">
        <v>192</v>
      </c>
    </row>
    <row r="92" spans="1:7">
      <c r="A92" t="s">
        <v>174</v>
      </c>
      <c r="C92">
        <v>20035</v>
      </c>
      <c r="E92">
        <v>3</v>
      </c>
      <c r="F92" s="6">
        <v>0</v>
      </c>
      <c r="G92" t="s">
        <v>192</v>
      </c>
    </row>
    <row r="93" spans="1:7">
      <c r="A93" t="s">
        <v>181</v>
      </c>
      <c r="C93">
        <v>21795</v>
      </c>
      <c r="E93">
        <v>3</v>
      </c>
      <c r="F93" s="6">
        <v>0</v>
      </c>
      <c r="G93" t="s">
        <v>192</v>
      </c>
    </row>
    <row r="94" spans="1:7">
      <c r="A94" t="s">
        <v>181</v>
      </c>
      <c r="C94">
        <v>22173</v>
      </c>
      <c r="E94">
        <v>2</v>
      </c>
      <c r="F94" s="6">
        <v>0</v>
      </c>
      <c r="G94" t="s">
        <v>191</v>
      </c>
    </row>
    <row r="95" spans="1:7">
      <c r="A95" t="s">
        <v>181</v>
      </c>
      <c r="C95">
        <v>20547</v>
      </c>
      <c r="E95">
        <v>3</v>
      </c>
      <c r="F95" s="6">
        <v>0</v>
      </c>
      <c r="G95" t="s">
        <v>192</v>
      </c>
    </row>
    <row r="96" spans="1:7">
      <c r="A96" t="s">
        <v>181</v>
      </c>
      <c r="C96">
        <v>22298</v>
      </c>
      <c r="E96">
        <v>3</v>
      </c>
      <c r="F96" s="6">
        <v>0</v>
      </c>
      <c r="G96" t="s">
        <v>192</v>
      </c>
    </row>
    <row r="97" spans="1:7">
      <c r="A97" t="s">
        <v>181</v>
      </c>
      <c r="C97">
        <v>21991</v>
      </c>
      <c r="E97">
        <v>3</v>
      </c>
      <c r="F97" s="6">
        <v>0</v>
      </c>
      <c r="G97" t="s">
        <v>192</v>
      </c>
    </row>
    <row r="98" spans="1:7">
      <c r="A98" t="s">
        <v>181</v>
      </c>
      <c r="C98">
        <v>20818</v>
      </c>
      <c r="E98">
        <v>3</v>
      </c>
      <c r="F98" s="6">
        <v>0</v>
      </c>
      <c r="G98" t="s">
        <v>192</v>
      </c>
    </row>
    <row r="99" spans="1:7">
      <c r="A99" t="s">
        <v>181</v>
      </c>
      <c r="C99">
        <v>21612</v>
      </c>
      <c r="E99">
        <v>3</v>
      </c>
      <c r="F99" s="6">
        <v>0</v>
      </c>
      <c r="G99" t="s">
        <v>192</v>
      </c>
    </row>
    <row r="100" spans="1:7">
      <c r="A100" t="s">
        <v>181</v>
      </c>
      <c r="C100">
        <v>21119</v>
      </c>
      <c r="E100">
        <v>3</v>
      </c>
      <c r="F100" s="6">
        <v>0</v>
      </c>
      <c r="G100" t="s">
        <v>192</v>
      </c>
    </row>
    <row r="101" spans="1:7">
      <c r="A101" t="s">
        <v>178</v>
      </c>
      <c r="C101">
        <v>26964</v>
      </c>
      <c r="E101">
        <v>3</v>
      </c>
      <c r="F101" s="6">
        <v>0</v>
      </c>
      <c r="G101" t="s">
        <v>192</v>
      </c>
    </row>
    <row r="102" spans="1:7">
      <c r="A102" t="s">
        <v>178</v>
      </c>
      <c r="C102">
        <v>25730</v>
      </c>
      <c r="E102">
        <v>3</v>
      </c>
      <c r="F102" s="6">
        <v>0</v>
      </c>
      <c r="G102" t="s">
        <v>192</v>
      </c>
    </row>
    <row r="103" spans="1:7">
      <c r="A103" t="s">
        <v>177</v>
      </c>
      <c r="C103">
        <v>27403</v>
      </c>
      <c r="E103">
        <v>2</v>
      </c>
      <c r="F103" s="6">
        <v>0</v>
      </c>
      <c r="G103" t="s">
        <v>191</v>
      </c>
    </row>
    <row r="104" spans="1:7">
      <c r="A104" t="s">
        <v>177</v>
      </c>
      <c r="C104">
        <v>26713</v>
      </c>
      <c r="E104">
        <v>3</v>
      </c>
      <c r="F104" s="6">
        <v>0</v>
      </c>
      <c r="G104" t="s">
        <v>192</v>
      </c>
    </row>
    <row r="105" spans="1:7">
      <c r="A105" t="s">
        <v>177</v>
      </c>
      <c r="C105">
        <v>26313</v>
      </c>
      <c r="E105">
        <v>2</v>
      </c>
      <c r="F105" s="6">
        <v>0</v>
      </c>
      <c r="G105" t="s">
        <v>191</v>
      </c>
    </row>
    <row r="106" spans="1:7">
      <c r="A106" t="s">
        <v>177</v>
      </c>
      <c r="C106">
        <v>27600</v>
      </c>
      <c r="E106">
        <v>2</v>
      </c>
      <c r="F106" s="6">
        <v>0</v>
      </c>
      <c r="G106" t="s">
        <v>191</v>
      </c>
    </row>
    <row r="107" spans="1:7">
      <c r="A107" t="s">
        <v>177</v>
      </c>
      <c r="C107">
        <v>27680</v>
      </c>
      <c r="E107">
        <v>3</v>
      </c>
      <c r="F107" s="6">
        <v>0</v>
      </c>
      <c r="G107" t="s">
        <v>192</v>
      </c>
    </row>
    <row r="108" spans="1:7">
      <c r="A108" t="s">
        <v>177</v>
      </c>
      <c r="C108">
        <v>27891</v>
      </c>
      <c r="E108">
        <v>3</v>
      </c>
      <c r="F108" s="6">
        <v>0</v>
      </c>
      <c r="G108" t="s">
        <v>192</v>
      </c>
    </row>
    <row r="109" spans="1:7">
      <c r="A109" t="s">
        <v>177</v>
      </c>
      <c r="C109">
        <v>26508</v>
      </c>
      <c r="E109">
        <v>2</v>
      </c>
      <c r="F109" s="6">
        <v>0</v>
      </c>
      <c r="G109" t="s">
        <v>191</v>
      </c>
    </row>
    <row r="110" spans="1:7">
      <c r="A110" t="s">
        <v>177</v>
      </c>
      <c r="C110">
        <v>27807</v>
      </c>
      <c r="E110">
        <v>2</v>
      </c>
      <c r="F110" s="6">
        <v>0</v>
      </c>
      <c r="G110" t="s">
        <v>191</v>
      </c>
    </row>
    <row r="111" spans="1:7">
      <c r="A111" t="s">
        <v>177</v>
      </c>
      <c r="C111">
        <v>26510</v>
      </c>
      <c r="E111">
        <v>3</v>
      </c>
      <c r="F111" s="6">
        <v>0</v>
      </c>
      <c r="G111" t="s">
        <v>192</v>
      </c>
    </row>
    <row r="112" spans="1:7">
      <c r="A112" t="s">
        <v>177</v>
      </c>
      <c r="C112">
        <v>27482</v>
      </c>
      <c r="E112">
        <v>3</v>
      </c>
      <c r="F112" s="6">
        <v>0</v>
      </c>
      <c r="G112" t="s">
        <v>192</v>
      </c>
    </row>
    <row r="113" spans="1:7">
      <c r="A113" t="s">
        <v>177</v>
      </c>
      <c r="C113">
        <v>26672</v>
      </c>
      <c r="E113">
        <v>2</v>
      </c>
      <c r="F113" s="6">
        <v>0</v>
      </c>
      <c r="G113" t="s">
        <v>191</v>
      </c>
    </row>
    <row r="114" spans="1:7">
      <c r="A114" t="s">
        <v>176</v>
      </c>
      <c r="C114">
        <v>21210</v>
      </c>
      <c r="E114">
        <v>2</v>
      </c>
      <c r="F114" s="6">
        <v>0</v>
      </c>
      <c r="G114" t="s">
        <v>191</v>
      </c>
    </row>
    <row r="115" spans="1:7">
      <c r="A115" t="s">
        <v>176</v>
      </c>
      <c r="C115">
        <v>20877</v>
      </c>
      <c r="E115">
        <v>2</v>
      </c>
      <c r="F115" s="6">
        <v>0</v>
      </c>
      <c r="G115" t="s">
        <v>191</v>
      </c>
    </row>
    <row r="116" spans="1:7">
      <c r="A116" t="s">
        <v>176</v>
      </c>
      <c r="C116">
        <v>20797</v>
      </c>
      <c r="E116">
        <v>3</v>
      </c>
      <c r="F116" s="6">
        <v>0</v>
      </c>
      <c r="G116" t="s">
        <v>192</v>
      </c>
    </row>
    <row r="117" spans="1:7">
      <c r="A117" t="s">
        <v>176</v>
      </c>
      <c r="C117">
        <v>21567</v>
      </c>
      <c r="E117">
        <v>2</v>
      </c>
      <c r="F117" s="6">
        <v>0</v>
      </c>
      <c r="G117" t="s">
        <v>191</v>
      </c>
    </row>
    <row r="118" spans="1:7">
      <c r="A118" t="s">
        <v>176</v>
      </c>
      <c r="C118">
        <v>20106</v>
      </c>
      <c r="E118">
        <v>3</v>
      </c>
      <c r="F118" s="6">
        <v>0</v>
      </c>
      <c r="G118" t="s">
        <v>192</v>
      </c>
    </row>
    <row r="119" spans="1:7">
      <c r="A119" t="s">
        <v>176</v>
      </c>
      <c r="C119">
        <v>21328</v>
      </c>
      <c r="E119">
        <v>2</v>
      </c>
      <c r="F119" s="6">
        <v>0</v>
      </c>
      <c r="G119" t="s">
        <v>191</v>
      </c>
    </row>
    <row r="120" spans="1:7">
      <c r="A120" t="s">
        <v>176</v>
      </c>
      <c r="C120">
        <v>20024</v>
      </c>
      <c r="E120">
        <v>2</v>
      </c>
      <c r="F120" s="6">
        <v>0</v>
      </c>
      <c r="G120" t="s">
        <v>191</v>
      </c>
    </row>
    <row r="121" spans="1:7">
      <c r="A121" t="s">
        <v>182</v>
      </c>
      <c r="C121">
        <v>31416</v>
      </c>
      <c r="E121">
        <v>3</v>
      </c>
      <c r="F121" s="6">
        <v>0</v>
      </c>
      <c r="G121" t="s">
        <v>192</v>
      </c>
    </row>
    <row r="122" spans="1:7">
      <c r="A122" t="s">
        <v>182</v>
      </c>
      <c r="C122">
        <v>30448</v>
      </c>
      <c r="E122">
        <v>3</v>
      </c>
      <c r="F122" s="6">
        <v>0</v>
      </c>
      <c r="G122" t="s">
        <v>192</v>
      </c>
    </row>
    <row r="123" spans="1:7">
      <c r="A123" t="s">
        <v>184</v>
      </c>
      <c r="C123">
        <v>23313</v>
      </c>
      <c r="E123">
        <v>3</v>
      </c>
      <c r="F123" s="6">
        <v>0</v>
      </c>
      <c r="G123" t="s">
        <v>192</v>
      </c>
    </row>
    <row r="124" spans="1:7">
      <c r="A124" t="s">
        <v>184</v>
      </c>
      <c r="C124">
        <v>21665</v>
      </c>
      <c r="E124">
        <v>2</v>
      </c>
      <c r="F124" s="6">
        <v>0</v>
      </c>
      <c r="G124" t="s">
        <v>191</v>
      </c>
    </row>
    <row r="125" spans="1:7">
      <c r="A125" t="s">
        <v>184</v>
      </c>
      <c r="C125">
        <v>22102</v>
      </c>
      <c r="E125">
        <v>3</v>
      </c>
      <c r="F125" s="6">
        <v>0</v>
      </c>
      <c r="G125" t="s">
        <v>192</v>
      </c>
    </row>
    <row r="126" spans="1:7">
      <c r="A126" t="s">
        <v>184</v>
      </c>
      <c r="C126">
        <v>22823</v>
      </c>
      <c r="E126">
        <v>3</v>
      </c>
      <c r="F126" s="6">
        <v>0</v>
      </c>
      <c r="G126" t="s">
        <v>192</v>
      </c>
    </row>
    <row r="127" spans="1:7">
      <c r="A127" t="s">
        <v>184</v>
      </c>
      <c r="C127">
        <v>22337</v>
      </c>
      <c r="E127">
        <v>3</v>
      </c>
      <c r="F127" s="6">
        <v>0</v>
      </c>
      <c r="G127" t="s">
        <v>192</v>
      </c>
    </row>
    <row r="128" spans="1:7">
      <c r="A128" t="s">
        <v>184</v>
      </c>
      <c r="C128">
        <v>22618</v>
      </c>
      <c r="E128">
        <v>3</v>
      </c>
      <c r="F128" s="6">
        <v>0</v>
      </c>
      <c r="G128" t="s">
        <v>192</v>
      </c>
    </row>
    <row r="129" spans="1:7">
      <c r="A129" t="s">
        <v>184</v>
      </c>
      <c r="C129">
        <v>23109</v>
      </c>
      <c r="E129">
        <v>3</v>
      </c>
      <c r="F129" s="6">
        <v>0</v>
      </c>
      <c r="G129" t="s">
        <v>192</v>
      </c>
    </row>
    <row r="130" spans="1:7">
      <c r="A130" t="s">
        <v>184</v>
      </c>
      <c r="C130">
        <v>21782</v>
      </c>
      <c r="E130">
        <v>3</v>
      </c>
      <c r="F130" s="6">
        <v>0</v>
      </c>
      <c r="G130" t="s">
        <v>192</v>
      </c>
    </row>
    <row r="131" spans="1:7">
      <c r="A131" t="s">
        <v>184</v>
      </c>
      <c r="C131">
        <v>21580</v>
      </c>
      <c r="E131">
        <v>3</v>
      </c>
      <c r="F131" s="6">
        <v>0</v>
      </c>
      <c r="G131" t="s">
        <v>192</v>
      </c>
    </row>
    <row r="132" spans="1:7">
      <c r="A132" t="s">
        <v>184</v>
      </c>
      <c r="C132">
        <v>22802</v>
      </c>
      <c r="E132">
        <v>2</v>
      </c>
      <c r="F132" s="6">
        <v>0</v>
      </c>
      <c r="G132" t="s">
        <v>191</v>
      </c>
    </row>
    <row r="133" spans="1:7">
      <c r="A133" t="s">
        <v>184</v>
      </c>
      <c r="C133">
        <v>23024</v>
      </c>
      <c r="E133">
        <v>2</v>
      </c>
      <c r="F133" s="6">
        <v>0</v>
      </c>
      <c r="G133" t="s">
        <v>191</v>
      </c>
    </row>
    <row r="134" spans="1:7">
      <c r="A134" t="s">
        <v>184</v>
      </c>
      <c r="C134">
        <v>22149</v>
      </c>
      <c r="E134">
        <v>3</v>
      </c>
      <c r="F134" s="6">
        <v>0</v>
      </c>
      <c r="G134" t="s">
        <v>192</v>
      </c>
    </row>
    <row r="135" spans="1:7">
      <c r="A135" t="s">
        <v>188</v>
      </c>
      <c r="C135">
        <v>22307</v>
      </c>
      <c r="E135">
        <v>2</v>
      </c>
      <c r="F135" s="6">
        <v>0</v>
      </c>
      <c r="G135" t="s">
        <v>191</v>
      </c>
    </row>
    <row r="136" spans="1:7">
      <c r="A136" t="s">
        <v>183</v>
      </c>
      <c r="C136">
        <v>20858</v>
      </c>
      <c r="E136">
        <v>2</v>
      </c>
      <c r="F136" s="6">
        <v>0</v>
      </c>
      <c r="G136" t="s">
        <v>191</v>
      </c>
    </row>
    <row r="137" spans="1:7">
      <c r="A137" t="s">
        <v>183</v>
      </c>
      <c r="C137">
        <v>20645</v>
      </c>
      <c r="E137">
        <v>3</v>
      </c>
      <c r="F137" s="6">
        <v>0</v>
      </c>
      <c r="G137" t="s">
        <v>192</v>
      </c>
    </row>
    <row r="138" spans="1:7">
      <c r="A138" t="s">
        <v>183</v>
      </c>
      <c r="C138">
        <v>21912</v>
      </c>
      <c r="E138">
        <v>2</v>
      </c>
      <c r="F138" s="6">
        <v>0</v>
      </c>
      <c r="G138" t="s">
        <v>191</v>
      </c>
    </row>
    <row r="139" spans="1:7">
      <c r="A139" t="s">
        <v>183</v>
      </c>
      <c r="C139">
        <v>20616</v>
      </c>
      <c r="E139">
        <v>2</v>
      </c>
      <c r="F139" s="6">
        <v>0</v>
      </c>
      <c r="G139" t="s">
        <v>191</v>
      </c>
    </row>
    <row r="140" spans="1:7">
      <c r="A140" t="s">
        <v>183</v>
      </c>
      <c r="C140">
        <v>21950</v>
      </c>
      <c r="E140">
        <v>3</v>
      </c>
      <c r="F140" s="6">
        <v>0</v>
      </c>
      <c r="G140" t="s">
        <v>192</v>
      </c>
    </row>
    <row r="141" spans="1:7">
      <c r="A141" t="s">
        <v>183</v>
      </c>
      <c r="C141">
        <v>21079</v>
      </c>
      <c r="E141">
        <v>2</v>
      </c>
      <c r="F141" s="6">
        <v>0</v>
      </c>
      <c r="G141" t="s">
        <v>191</v>
      </c>
    </row>
    <row r="142" spans="1:7">
      <c r="A142" t="s">
        <v>183</v>
      </c>
      <c r="C142">
        <v>21746</v>
      </c>
      <c r="E142">
        <v>3</v>
      </c>
      <c r="F142" s="6">
        <v>0</v>
      </c>
      <c r="G142" t="s">
        <v>192</v>
      </c>
    </row>
    <row r="143" spans="1:7">
      <c r="A143" t="s">
        <v>183</v>
      </c>
      <c r="C143">
        <v>22136</v>
      </c>
      <c r="E143">
        <v>2</v>
      </c>
      <c r="F143" s="6">
        <v>0</v>
      </c>
      <c r="G143" t="s">
        <v>191</v>
      </c>
    </row>
    <row r="144" spans="1:7">
      <c r="A144" t="s">
        <v>183</v>
      </c>
      <c r="C144">
        <v>22422</v>
      </c>
      <c r="E144">
        <v>2</v>
      </c>
      <c r="F144" s="6">
        <v>0</v>
      </c>
      <c r="G144" t="s">
        <v>191</v>
      </c>
    </row>
    <row r="145" spans="1:7">
      <c r="A145" t="s">
        <v>183</v>
      </c>
      <c r="C145">
        <v>21732</v>
      </c>
      <c r="E145">
        <v>2</v>
      </c>
      <c r="F145" s="6">
        <v>0</v>
      </c>
      <c r="G145" t="s">
        <v>191</v>
      </c>
    </row>
    <row r="146" spans="1:7">
      <c r="A146" t="s">
        <v>187</v>
      </c>
      <c r="C146">
        <v>22495</v>
      </c>
      <c r="E146">
        <v>2</v>
      </c>
      <c r="F146" s="6">
        <v>0</v>
      </c>
      <c r="G146" t="s">
        <v>191</v>
      </c>
    </row>
    <row r="147" spans="1:7">
      <c r="A147" t="s">
        <v>185</v>
      </c>
      <c r="C147">
        <v>22576</v>
      </c>
      <c r="E147">
        <v>2</v>
      </c>
      <c r="F147" s="6">
        <v>0</v>
      </c>
      <c r="G147" t="s">
        <v>191</v>
      </c>
    </row>
    <row r="148" spans="1:7">
      <c r="A148" t="s">
        <v>185</v>
      </c>
      <c r="C148">
        <v>24233</v>
      </c>
      <c r="E148">
        <v>2</v>
      </c>
      <c r="F148" s="6">
        <v>0</v>
      </c>
      <c r="G148" t="s">
        <v>191</v>
      </c>
    </row>
    <row r="149" spans="1:7">
      <c r="A149" t="s">
        <v>185</v>
      </c>
      <c r="C149">
        <v>24067</v>
      </c>
      <c r="E149">
        <v>2</v>
      </c>
      <c r="F149" s="6">
        <v>0</v>
      </c>
      <c r="G149" t="s">
        <v>191</v>
      </c>
    </row>
    <row r="150" spans="1:7">
      <c r="A150" t="s">
        <v>185</v>
      </c>
      <c r="C150">
        <v>23233</v>
      </c>
      <c r="E150">
        <v>2</v>
      </c>
      <c r="F150" s="6">
        <v>0</v>
      </c>
      <c r="G150" t="s">
        <v>191</v>
      </c>
    </row>
    <row r="151" spans="1:7">
      <c r="A151" t="s">
        <v>185</v>
      </c>
      <c r="C151">
        <v>24437</v>
      </c>
      <c r="E151">
        <v>2</v>
      </c>
      <c r="F151" s="6">
        <v>0</v>
      </c>
      <c r="G151" t="s">
        <v>191</v>
      </c>
    </row>
    <row r="152" spans="1:7">
      <c r="A152" t="s">
        <v>185</v>
      </c>
      <c r="C152">
        <v>22575</v>
      </c>
      <c r="E152">
        <v>3</v>
      </c>
      <c r="F152" s="6">
        <v>0</v>
      </c>
      <c r="G152" t="s">
        <v>192</v>
      </c>
    </row>
    <row r="153" spans="1:7">
      <c r="A153" t="s">
        <v>185</v>
      </c>
      <c r="C153">
        <v>22379</v>
      </c>
      <c r="E153">
        <v>3</v>
      </c>
      <c r="F153" s="6">
        <v>0</v>
      </c>
      <c r="G153" t="s">
        <v>192</v>
      </c>
    </row>
    <row r="154" spans="1:7">
      <c r="A154" t="s">
        <v>185</v>
      </c>
      <c r="C154">
        <v>23987</v>
      </c>
      <c r="E154">
        <v>3</v>
      </c>
      <c r="F154" s="6">
        <v>0</v>
      </c>
      <c r="G154" t="s">
        <v>192</v>
      </c>
    </row>
    <row r="155" spans="1:7">
      <c r="A155" t="s">
        <v>185</v>
      </c>
      <c r="C155">
        <v>23433</v>
      </c>
      <c r="E155">
        <v>3</v>
      </c>
      <c r="F155" s="6">
        <v>0</v>
      </c>
      <c r="G155" t="s">
        <v>192</v>
      </c>
    </row>
    <row r="156" spans="1:7">
      <c r="A156" t="s">
        <v>185</v>
      </c>
      <c r="C156">
        <v>22822</v>
      </c>
      <c r="E156">
        <v>3</v>
      </c>
      <c r="F156" s="6">
        <v>0</v>
      </c>
      <c r="G156" t="s">
        <v>192</v>
      </c>
    </row>
    <row r="157" spans="1:7">
      <c r="A157" t="s">
        <v>185</v>
      </c>
      <c r="C157">
        <v>23106</v>
      </c>
      <c r="E157">
        <v>3</v>
      </c>
      <c r="F157" s="6">
        <v>0</v>
      </c>
      <c r="G157" t="s">
        <v>192</v>
      </c>
    </row>
    <row r="158" spans="1:7">
      <c r="A158" t="s">
        <v>185</v>
      </c>
      <c r="C158">
        <v>24847</v>
      </c>
      <c r="E158">
        <v>3</v>
      </c>
      <c r="F158" s="6">
        <v>0</v>
      </c>
      <c r="G158" t="s">
        <v>192</v>
      </c>
    </row>
    <row r="159" spans="1:7">
      <c r="A159" t="s">
        <v>185</v>
      </c>
      <c r="C159">
        <v>23680</v>
      </c>
      <c r="E159">
        <v>2</v>
      </c>
      <c r="F159" s="6">
        <v>0</v>
      </c>
      <c r="G159" t="s">
        <v>191</v>
      </c>
    </row>
    <row r="160" spans="1:7">
      <c r="A160" t="s">
        <v>185</v>
      </c>
      <c r="C160">
        <v>22783</v>
      </c>
      <c r="E160">
        <v>2</v>
      </c>
      <c r="F160" s="6">
        <v>0</v>
      </c>
      <c r="G160" t="s">
        <v>191</v>
      </c>
    </row>
    <row r="161" spans="1:7">
      <c r="A161" t="s">
        <v>185</v>
      </c>
      <c r="C161">
        <v>23870</v>
      </c>
      <c r="E161">
        <v>2</v>
      </c>
      <c r="F161" s="6">
        <v>0</v>
      </c>
      <c r="G161" t="s">
        <v>191</v>
      </c>
    </row>
    <row r="162" spans="1:7">
      <c r="A162" t="s">
        <v>185</v>
      </c>
      <c r="C162">
        <v>22397</v>
      </c>
      <c r="E162">
        <v>2</v>
      </c>
      <c r="F162" s="6">
        <v>0</v>
      </c>
      <c r="G162" t="s">
        <v>191</v>
      </c>
    </row>
    <row r="163" spans="1:7">
      <c r="A163" t="s">
        <v>185</v>
      </c>
      <c r="C163">
        <v>22983</v>
      </c>
      <c r="E163">
        <v>2</v>
      </c>
      <c r="F163" s="6">
        <v>0</v>
      </c>
      <c r="G163" t="s">
        <v>191</v>
      </c>
    </row>
    <row r="164" spans="1:7">
      <c r="A164" t="s">
        <v>185</v>
      </c>
      <c r="C164">
        <v>23825</v>
      </c>
      <c r="E164">
        <v>3</v>
      </c>
      <c r="F164" s="6">
        <v>0</v>
      </c>
      <c r="G164" t="s">
        <v>192</v>
      </c>
    </row>
    <row r="165" spans="1:7">
      <c r="A165" t="s">
        <v>185</v>
      </c>
      <c r="C165">
        <v>23454</v>
      </c>
      <c r="E165">
        <v>2</v>
      </c>
      <c r="F165" s="6">
        <v>0</v>
      </c>
      <c r="G165" t="s">
        <v>191</v>
      </c>
    </row>
    <row r="166" spans="1:7">
      <c r="A166" t="s">
        <v>185</v>
      </c>
      <c r="C166">
        <v>23701</v>
      </c>
      <c r="E166">
        <v>3</v>
      </c>
      <c r="F166" s="6">
        <v>0</v>
      </c>
      <c r="G166" t="s">
        <v>192</v>
      </c>
    </row>
    <row r="167" spans="1:7">
      <c r="A167" t="s">
        <v>186</v>
      </c>
      <c r="C167">
        <v>23063</v>
      </c>
      <c r="E167">
        <v>2</v>
      </c>
      <c r="F167" s="6">
        <v>0</v>
      </c>
      <c r="G167" t="s">
        <v>191</v>
      </c>
    </row>
    <row r="168" spans="1:7">
      <c r="A168" t="s">
        <v>186</v>
      </c>
      <c r="C168">
        <v>22824</v>
      </c>
      <c r="E168">
        <v>2</v>
      </c>
      <c r="F168" s="6">
        <v>0</v>
      </c>
      <c r="G168" t="s">
        <v>191</v>
      </c>
    </row>
    <row r="169" spans="1:7">
      <c r="A169" t="s">
        <v>186</v>
      </c>
      <c r="C169">
        <v>24475</v>
      </c>
      <c r="E169">
        <v>3</v>
      </c>
      <c r="F169" s="6">
        <v>0</v>
      </c>
      <c r="G169" t="s">
        <v>192</v>
      </c>
    </row>
    <row r="170" spans="1:7">
      <c r="A170" t="s">
        <v>161</v>
      </c>
      <c r="C170">
        <v>12012</v>
      </c>
      <c r="E170">
        <v>2</v>
      </c>
      <c r="F170" s="6">
        <v>0</v>
      </c>
      <c r="G170" t="s">
        <v>191</v>
      </c>
    </row>
    <row r="171" spans="1:7">
      <c r="A171" t="s">
        <v>161</v>
      </c>
      <c r="C171">
        <v>14168</v>
      </c>
      <c r="E171">
        <v>2</v>
      </c>
      <c r="F171" s="6">
        <v>0</v>
      </c>
      <c r="G171" t="s">
        <v>191</v>
      </c>
    </row>
    <row r="172" spans="1:7">
      <c r="A172" t="s">
        <v>161</v>
      </c>
      <c r="C172">
        <v>12180</v>
      </c>
      <c r="E172">
        <v>2</v>
      </c>
      <c r="F172" s="6">
        <v>0</v>
      </c>
      <c r="G172" t="s">
        <v>191</v>
      </c>
    </row>
    <row r="173" spans="1:7">
      <c r="A173" t="s">
        <v>161</v>
      </c>
      <c r="C173">
        <v>12333</v>
      </c>
      <c r="E173">
        <v>2</v>
      </c>
      <c r="F173" s="6">
        <v>0</v>
      </c>
      <c r="G173" t="s">
        <v>191</v>
      </c>
    </row>
    <row r="174" spans="1:7">
      <c r="A174" t="s">
        <v>161</v>
      </c>
      <c r="C174">
        <v>14318</v>
      </c>
      <c r="E174">
        <v>2</v>
      </c>
      <c r="F174" s="6">
        <v>0</v>
      </c>
      <c r="G174" t="s">
        <v>191</v>
      </c>
    </row>
    <row r="175" spans="1:7">
      <c r="A175" t="s">
        <v>161</v>
      </c>
      <c r="C175">
        <v>10595</v>
      </c>
      <c r="E175">
        <v>2</v>
      </c>
      <c r="F175" s="6">
        <v>0</v>
      </c>
      <c r="G175" t="s">
        <v>191</v>
      </c>
    </row>
    <row r="176" spans="1:7">
      <c r="A176" t="s">
        <v>161</v>
      </c>
      <c r="C176">
        <v>16688</v>
      </c>
      <c r="E176">
        <v>2</v>
      </c>
      <c r="F176" s="6">
        <v>0</v>
      </c>
      <c r="G176" t="s">
        <v>191</v>
      </c>
    </row>
    <row r="177" spans="1:7">
      <c r="A177" t="s">
        <v>161</v>
      </c>
      <c r="C177">
        <v>10914</v>
      </c>
      <c r="E177">
        <v>2</v>
      </c>
      <c r="F177" s="6">
        <v>0</v>
      </c>
      <c r="G177" t="s">
        <v>191</v>
      </c>
    </row>
    <row r="178" spans="1:7">
      <c r="A178" t="s">
        <v>161</v>
      </c>
      <c r="C178">
        <v>10753</v>
      </c>
      <c r="E178">
        <v>2</v>
      </c>
      <c r="F178" s="6">
        <v>0</v>
      </c>
      <c r="G178" t="s">
        <v>191</v>
      </c>
    </row>
    <row r="179" spans="1:7">
      <c r="A179" t="s">
        <v>164</v>
      </c>
      <c r="C179">
        <v>13537</v>
      </c>
      <c r="E179">
        <v>2</v>
      </c>
      <c r="F179" s="6">
        <v>0</v>
      </c>
      <c r="G179" t="s">
        <v>191</v>
      </c>
    </row>
    <row r="180" spans="1:7">
      <c r="A180" t="s">
        <v>164</v>
      </c>
      <c r="C180">
        <v>14260</v>
      </c>
      <c r="E180">
        <v>2</v>
      </c>
      <c r="F180" s="6">
        <v>0</v>
      </c>
      <c r="G180" t="s">
        <v>191</v>
      </c>
    </row>
    <row r="181" spans="1:7">
      <c r="A181" t="s">
        <v>164</v>
      </c>
      <c r="C181">
        <v>12181</v>
      </c>
      <c r="E181">
        <v>2</v>
      </c>
      <c r="F181" s="6">
        <v>0</v>
      </c>
      <c r="G181" t="s">
        <v>191</v>
      </c>
    </row>
    <row r="182" spans="1:7">
      <c r="A182" t="s">
        <v>164</v>
      </c>
      <c r="C182">
        <v>12332</v>
      </c>
      <c r="E182">
        <v>2</v>
      </c>
      <c r="F182" s="6">
        <v>0</v>
      </c>
      <c r="G182" t="s">
        <v>191</v>
      </c>
    </row>
    <row r="183" spans="1:7">
      <c r="A183" t="s">
        <v>164</v>
      </c>
      <c r="C183">
        <v>14419</v>
      </c>
      <c r="E183">
        <v>2</v>
      </c>
      <c r="F183" s="6">
        <v>0</v>
      </c>
      <c r="G183" t="s">
        <v>191</v>
      </c>
    </row>
    <row r="184" spans="1:7">
      <c r="A184" t="s">
        <v>164</v>
      </c>
      <c r="C184">
        <v>14577</v>
      </c>
      <c r="E184">
        <v>2</v>
      </c>
      <c r="F184" s="6">
        <v>0</v>
      </c>
      <c r="G184" t="s">
        <v>191</v>
      </c>
    </row>
    <row r="185" spans="1:7">
      <c r="A185" t="s">
        <v>164</v>
      </c>
      <c r="C185">
        <v>15628</v>
      </c>
      <c r="E185">
        <v>2</v>
      </c>
      <c r="F185" s="6">
        <v>0</v>
      </c>
      <c r="G185" t="s">
        <v>191</v>
      </c>
    </row>
    <row r="186" spans="1:7">
      <c r="A186" t="s">
        <v>164</v>
      </c>
      <c r="C186">
        <v>15447</v>
      </c>
      <c r="E186">
        <v>2</v>
      </c>
      <c r="F186" s="6">
        <v>0</v>
      </c>
      <c r="G186" t="s">
        <v>191</v>
      </c>
    </row>
    <row r="187" spans="1:7">
      <c r="A187" t="s">
        <v>163</v>
      </c>
      <c r="C187">
        <v>12367</v>
      </c>
      <c r="E187">
        <v>2</v>
      </c>
      <c r="F187" s="6">
        <v>0</v>
      </c>
      <c r="G187" t="s">
        <v>191</v>
      </c>
    </row>
    <row r="188" spans="1:7">
      <c r="A188" t="s">
        <v>166</v>
      </c>
      <c r="C188">
        <v>18895</v>
      </c>
      <c r="E188">
        <v>2</v>
      </c>
      <c r="F188" s="6">
        <v>0</v>
      </c>
      <c r="G188" t="s">
        <v>191</v>
      </c>
    </row>
    <row r="189" spans="1:7">
      <c r="A189" t="s">
        <v>166</v>
      </c>
      <c r="C189">
        <v>17499</v>
      </c>
      <c r="E189">
        <v>2</v>
      </c>
      <c r="F189" s="6">
        <v>0</v>
      </c>
      <c r="G189" t="s">
        <v>191</v>
      </c>
    </row>
    <row r="190" spans="1:7">
      <c r="A190" t="s">
        <v>166</v>
      </c>
      <c r="C190">
        <v>17649</v>
      </c>
      <c r="E190">
        <v>2</v>
      </c>
      <c r="F190" s="6">
        <v>0</v>
      </c>
      <c r="G190" t="s">
        <v>191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E11"/>
  <sheetViews>
    <sheetView workbookViewId="0">
      <selection activeCell="B12" sqref="B12"/>
    </sheetView>
  </sheetViews>
  <sheetFormatPr defaultRowHeight="16.5"/>
  <cols>
    <col min="1" max="1" width="22.5" customWidth="1"/>
    <col min="3" max="3" width="23.125" customWidth="1"/>
    <col min="4" max="4" width="22.75" customWidth="1"/>
  </cols>
  <sheetData>
    <row r="1" spans="1:5">
      <c r="A1" t="s">
        <v>314</v>
      </c>
      <c r="B1" t="s">
        <v>155</v>
      </c>
      <c r="C1" t="s">
        <v>315</v>
      </c>
      <c r="D1" t="s">
        <v>216</v>
      </c>
      <c r="E1" t="s">
        <v>156</v>
      </c>
    </row>
    <row r="2" spans="1:5">
      <c r="A2" t="s">
        <v>309</v>
      </c>
      <c r="B2" t="s">
        <v>247</v>
      </c>
      <c r="D2" t="s">
        <v>311</v>
      </c>
    </row>
    <row r="3" spans="1:5">
      <c r="A3" t="s">
        <v>309</v>
      </c>
      <c r="B3" t="s">
        <v>313</v>
      </c>
      <c r="D3" t="s">
        <v>311</v>
      </c>
    </row>
    <row r="4" spans="1:5">
      <c r="A4" t="s">
        <v>248</v>
      </c>
      <c r="B4" t="s">
        <v>247</v>
      </c>
      <c r="C4">
        <v>260.14920000000001</v>
      </c>
    </row>
    <row r="5" spans="1:5">
      <c r="C5">
        <v>344.17039999999997</v>
      </c>
    </row>
    <row r="6" spans="1:5">
      <c r="C6">
        <v>374.18099999999998</v>
      </c>
    </row>
    <row r="7" spans="1:5">
      <c r="A7" t="s">
        <v>249</v>
      </c>
      <c r="B7" t="s">
        <v>247</v>
      </c>
      <c r="C7">
        <v>376.19659999999999</v>
      </c>
    </row>
    <row r="8" spans="1:5">
      <c r="A8" t="s">
        <v>250</v>
      </c>
      <c r="B8" t="s">
        <v>247</v>
      </c>
      <c r="C8">
        <v>406.2072</v>
      </c>
    </row>
    <row r="9" spans="1:5">
      <c r="C9">
        <v>566.28070000000002</v>
      </c>
    </row>
    <row r="10" spans="1:5">
      <c r="B10" t="s">
        <v>316</v>
      </c>
      <c r="C10">
        <v>580.29639999999995</v>
      </c>
      <c r="D10" t="s">
        <v>317</v>
      </c>
    </row>
    <row r="11" spans="1:5">
      <c r="A11" t="s">
        <v>319</v>
      </c>
      <c r="B11" t="s">
        <v>316</v>
      </c>
      <c r="C11">
        <v>825.42269999999996</v>
      </c>
      <c r="D11" t="s">
        <v>318</v>
      </c>
    </row>
  </sheetData>
  <autoFilter ref="A1:I1" xr:uid="{D125B437-E159-4E97-8559-08AC52B2F723}">
    <sortState xmlns:xlrd2="http://schemas.microsoft.com/office/spreadsheetml/2017/richdata2" ref="A2:I283">
      <sortCondition ref="C1"/>
    </sortState>
  </autoFilter>
  <phoneticPr fontId="1" type="noConversion"/>
  <conditionalFormatting sqref="B2:B3 C1:D1 C4:D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E10-0E48-42B8-B31E-41CE897F3A64}">
  <dimension ref="A1:B20"/>
  <sheetViews>
    <sheetView workbookViewId="0">
      <selection activeCell="F12" sqref="F12"/>
    </sheetView>
  </sheetViews>
  <sheetFormatPr defaultColWidth="8.75" defaultRowHeight="16.5"/>
  <cols>
    <col min="1" max="1" width="29.625" customWidth="1"/>
    <col min="2" max="2" width="47.125" customWidth="1"/>
  </cols>
  <sheetData>
    <row r="1" spans="1:2">
      <c r="A1" s="9" t="s">
        <v>152</v>
      </c>
      <c r="B1" s="9" t="s">
        <v>203</v>
      </c>
    </row>
    <row r="2" spans="1:2">
      <c r="A2" s="9" t="s">
        <v>150</v>
      </c>
      <c r="B2" s="10">
        <v>45557</v>
      </c>
    </row>
    <row r="3" spans="1:2">
      <c r="A3" s="9"/>
      <c r="B3" s="10"/>
    </row>
    <row r="4" spans="1:2">
      <c r="A4" s="9" t="s">
        <v>151</v>
      </c>
      <c r="B4" s="9" t="s">
        <v>159</v>
      </c>
    </row>
    <row r="5" spans="1:2">
      <c r="A5" s="9" t="s">
        <v>204</v>
      </c>
      <c r="B5" s="9" t="s">
        <v>205</v>
      </c>
    </row>
    <row r="6" spans="1:2">
      <c r="A6" s="9" t="s">
        <v>207</v>
      </c>
      <c r="B6" s="9" t="s">
        <v>206</v>
      </c>
    </row>
    <row r="7" spans="1:2">
      <c r="A7" s="9"/>
      <c r="B7" s="9"/>
    </row>
    <row r="8" spans="1:2">
      <c r="A8" s="9"/>
      <c r="B8" s="9"/>
    </row>
    <row r="9" spans="1:2">
      <c r="A9" s="9"/>
      <c r="B9" s="9"/>
    </row>
    <row r="10" spans="1:2">
      <c r="A10" s="9"/>
      <c r="B10" s="9"/>
    </row>
    <row r="11" spans="1:2">
      <c r="A11" t="s">
        <v>269</v>
      </c>
      <c r="B11" t="s">
        <v>270</v>
      </c>
    </row>
    <row r="12" spans="1:2">
      <c r="A12" t="s">
        <v>258</v>
      </c>
      <c r="B12" t="s">
        <v>259</v>
      </c>
    </row>
    <row r="14" spans="1:2">
      <c r="A14" t="s">
        <v>262</v>
      </c>
      <c r="B14" t="s">
        <v>208</v>
      </c>
    </row>
    <row r="16" spans="1:2">
      <c r="A16" t="s">
        <v>153</v>
      </c>
      <c r="B16" t="s">
        <v>157</v>
      </c>
    </row>
    <row r="17" spans="2:2">
      <c r="B17" t="s">
        <v>158</v>
      </c>
    </row>
    <row r="18" spans="2:2">
      <c r="B18" t="s">
        <v>160</v>
      </c>
    </row>
    <row r="19" spans="2:2">
      <c r="B19" t="s">
        <v>189</v>
      </c>
    </row>
    <row r="20" spans="2:2">
      <c r="B20" t="s">
        <v>202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7A34-7882-4FF7-9501-872F8DA266D6}">
  <dimension ref="A1:J42"/>
  <sheetViews>
    <sheetView workbookViewId="0">
      <selection activeCell="B42" sqref="B42"/>
    </sheetView>
  </sheetViews>
  <sheetFormatPr defaultRowHeight="16.5"/>
  <cols>
    <col min="2" max="2" width="49.625" customWidth="1"/>
    <col min="3" max="3" width="5.75" customWidth="1"/>
    <col min="4" max="4" width="23.25" customWidth="1"/>
    <col min="5" max="5" width="54.625" customWidth="1"/>
    <col min="6" max="6" width="15.875" customWidth="1"/>
    <col min="7" max="7" width="39.75" customWidth="1"/>
    <col min="9" max="9" width="21.625" customWidth="1"/>
    <col min="10" max="10" width="20.625" customWidth="1"/>
    <col min="11" max="11" width="23.875" customWidth="1"/>
  </cols>
  <sheetData>
    <row r="1" spans="1:10">
      <c r="B1" t="s">
        <v>229</v>
      </c>
      <c r="D1" s="5">
        <v>46006</v>
      </c>
      <c r="E1" t="s">
        <v>230</v>
      </c>
    </row>
    <row r="2" spans="1:10">
      <c r="A2" t="s">
        <v>209</v>
      </c>
      <c r="B2" t="s">
        <v>210</v>
      </c>
    </row>
    <row r="3" spans="1:10">
      <c r="B3" t="s">
        <v>211</v>
      </c>
      <c r="D3" t="s">
        <v>212</v>
      </c>
      <c r="F3" t="s">
        <v>220</v>
      </c>
      <c r="G3" t="s">
        <v>274</v>
      </c>
      <c r="H3" t="s">
        <v>235</v>
      </c>
      <c r="I3" t="s">
        <v>222</v>
      </c>
      <c r="J3" t="s">
        <v>223</v>
      </c>
    </row>
    <row r="4" spans="1:10">
      <c r="B4" t="s">
        <v>224</v>
      </c>
      <c r="D4" t="s">
        <v>214</v>
      </c>
      <c r="E4" t="s">
        <v>213</v>
      </c>
      <c r="F4" t="s">
        <v>1</v>
      </c>
      <c r="H4" t="s">
        <v>6</v>
      </c>
      <c r="J4" t="s">
        <v>11</v>
      </c>
    </row>
    <row r="5" spans="1:10">
      <c r="D5" t="s">
        <v>0</v>
      </c>
      <c r="E5" t="s">
        <v>215</v>
      </c>
      <c r="F5" t="s">
        <v>2</v>
      </c>
      <c r="H5" t="s">
        <v>7</v>
      </c>
      <c r="J5" t="s">
        <v>12</v>
      </c>
    </row>
    <row r="6" spans="1:10">
      <c r="D6" t="s">
        <v>217</v>
      </c>
      <c r="E6" t="s">
        <v>218</v>
      </c>
      <c r="F6" t="s">
        <v>3</v>
      </c>
      <c r="H6" t="s">
        <v>8</v>
      </c>
    </row>
    <row r="7" spans="1:10">
      <c r="D7" t="s">
        <v>216</v>
      </c>
      <c r="E7" t="s">
        <v>219</v>
      </c>
      <c r="F7" t="s">
        <v>221</v>
      </c>
    </row>
    <row r="9" spans="1:10">
      <c r="A9" t="s">
        <v>225</v>
      </c>
      <c r="B9" t="s">
        <v>226</v>
      </c>
    </row>
    <row r="10" spans="1:10">
      <c r="B10" t="s">
        <v>227</v>
      </c>
      <c r="D10" t="s">
        <v>212</v>
      </c>
      <c r="F10" t="s">
        <v>234</v>
      </c>
      <c r="J10" t="s">
        <v>223</v>
      </c>
    </row>
    <row r="11" spans="1:10">
      <c r="B11" t="s">
        <v>228</v>
      </c>
      <c r="D11" t="s">
        <v>194</v>
      </c>
      <c r="E11" t="s">
        <v>231</v>
      </c>
      <c r="F11" t="s">
        <v>193</v>
      </c>
      <c r="G11" t="s">
        <v>236</v>
      </c>
      <c r="J11" t="s">
        <v>12</v>
      </c>
    </row>
    <row r="12" spans="1:10">
      <c r="D12" t="s">
        <v>201</v>
      </c>
      <c r="E12" t="s">
        <v>232</v>
      </c>
      <c r="F12" t="s">
        <v>140</v>
      </c>
      <c r="G12" t="s">
        <v>140</v>
      </c>
    </row>
    <row r="13" spans="1:10">
      <c r="D13" t="s">
        <v>144</v>
      </c>
      <c r="F13" t="s">
        <v>141</v>
      </c>
      <c r="G13" t="s">
        <v>237</v>
      </c>
    </row>
    <row r="14" spans="1:10">
      <c r="D14" t="s">
        <v>145</v>
      </c>
      <c r="E14" t="s">
        <v>233</v>
      </c>
      <c r="F14" t="s">
        <v>142</v>
      </c>
      <c r="G14" t="s">
        <v>238</v>
      </c>
    </row>
    <row r="15" spans="1:10">
      <c r="F15" t="s">
        <v>239</v>
      </c>
      <c r="G15" t="s">
        <v>240</v>
      </c>
    </row>
    <row r="16" spans="1:10">
      <c r="A16" t="s">
        <v>241</v>
      </c>
      <c r="B16" t="s">
        <v>242</v>
      </c>
    </row>
    <row r="17" spans="1:6">
      <c r="B17" t="s">
        <v>243</v>
      </c>
      <c r="D17" t="s">
        <v>212</v>
      </c>
      <c r="F17" t="s">
        <v>223</v>
      </c>
    </row>
    <row r="18" spans="1:6">
      <c r="B18" t="s">
        <v>244</v>
      </c>
      <c r="D18" t="s">
        <v>154</v>
      </c>
      <c r="E18" t="s">
        <v>252</v>
      </c>
      <c r="F18" t="s">
        <v>156</v>
      </c>
    </row>
    <row r="19" spans="1:6">
      <c r="D19" t="s">
        <v>155</v>
      </c>
      <c r="E19" t="s">
        <v>251</v>
      </c>
    </row>
    <row r="20" spans="1:6">
      <c r="D20" t="s">
        <v>195</v>
      </c>
      <c r="E20" t="s">
        <v>246</v>
      </c>
    </row>
    <row r="21" spans="1:6">
      <c r="D21" t="s">
        <v>245</v>
      </c>
      <c r="E21" t="s">
        <v>253</v>
      </c>
    </row>
    <row r="23" spans="1:6">
      <c r="A23" t="s">
        <v>254</v>
      </c>
      <c r="B23" t="s">
        <v>255</v>
      </c>
      <c r="D23" t="s">
        <v>260</v>
      </c>
      <c r="E23" t="s">
        <v>273</v>
      </c>
    </row>
    <row r="24" spans="1:6">
      <c r="B24" t="s">
        <v>256</v>
      </c>
      <c r="D24" t="s">
        <v>272</v>
      </c>
      <c r="E24" t="s">
        <v>271</v>
      </c>
    </row>
    <row r="25" spans="1:6">
      <c r="B25" t="s">
        <v>257</v>
      </c>
      <c r="D25" t="s">
        <v>258</v>
      </c>
      <c r="E25" t="s">
        <v>261</v>
      </c>
    </row>
    <row r="26" spans="1:6">
      <c r="D26" t="s">
        <v>262</v>
      </c>
      <c r="E26" t="s">
        <v>263</v>
      </c>
    </row>
    <row r="27" spans="1:6">
      <c r="D27" t="s">
        <v>153</v>
      </c>
      <c r="E27" t="s">
        <v>264</v>
      </c>
    </row>
    <row r="29" spans="1:6">
      <c r="B29" t="s">
        <v>265</v>
      </c>
    </row>
    <row r="30" spans="1:6">
      <c r="B30" t="s">
        <v>266</v>
      </c>
    </row>
    <row r="32" spans="1:6">
      <c r="B32" t="s">
        <v>267</v>
      </c>
    </row>
    <row r="33" spans="2:2">
      <c r="B33" t="s">
        <v>268</v>
      </c>
    </row>
    <row r="36" spans="2:2">
      <c r="B36" t="s">
        <v>307</v>
      </c>
    </row>
    <row r="37" spans="2:2">
      <c r="B37" t="s">
        <v>275</v>
      </c>
    </row>
    <row r="38" spans="2:2">
      <c r="B38" t="s">
        <v>308</v>
      </c>
    </row>
    <row r="40" spans="2:2">
      <c r="B40" t="s">
        <v>276</v>
      </c>
    </row>
    <row r="41" spans="2:2">
      <c r="B41" t="s">
        <v>277</v>
      </c>
    </row>
    <row r="42" spans="2:2">
      <c r="B42" t="s">
        <v>308</v>
      </c>
    </row>
  </sheetData>
  <phoneticPr fontId="1" type="noConversion"/>
  <conditionalFormatting sqref="D20">
    <cfRule type="duplicateValues" dxfId="1" priority="2"/>
  </conditionalFormatting>
  <conditionalFormatting sqref="D2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9A78-0D2A-4D02-BDF2-05A2ACCF386E}">
  <dimension ref="A2:B33"/>
  <sheetViews>
    <sheetView workbookViewId="0">
      <selection activeCell="A4" sqref="A4:B4"/>
      <pivotSelection pane="bottomRight" showHeader="1" extendable="1" axis="axisRow" max="30" activeRow="3" previousRow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6.5"/>
  <cols>
    <col min="1" max="1" width="12.875" bestFit="1" customWidth="1"/>
    <col min="2" max="2" width="16.75" bestFit="1" customWidth="1"/>
  </cols>
  <sheetData>
    <row r="2" spans="1:2">
      <c r="A2" t="s">
        <v>200</v>
      </c>
      <c r="B2">
        <v>28</v>
      </c>
    </row>
    <row r="3" spans="1:2">
      <c r="A3" s="7" t="s">
        <v>196</v>
      </c>
      <c r="B3" t="s">
        <v>199</v>
      </c>
    </row>
    <row r="4" spans="1:2">
      <c r="A4" s="8" t="s">
        <v>162</v>
      </c>
      <c r="B4">
        <v>4</v>
      </c>
    </row>
    <row r="5" spans="1:2">
      <c r="A5" s="8" t="s">
        <v>167</v>
      </c>
      <c r="B5">
        <v>11</v>
      </c>
    </row>
    <row r="6" spans="1:2">
      <c r="A6" s="8" t="s">
        <v>165</v>
      </c>
      <c r="B6">
        <v>1</v>
      </c>
    </row>
    <row r="7" spans="1:2">
      <c r="A7" s="8" t="s">
        <v>169</v>
      </c>
      <c r="B7">
        <v>10</v>
      </c>
    </row>
    <row r="8" spans="1:2">
      <c r="A8" s="8" t="s">
        <v>171</v>
      </c>
      <c r="B8">
        <v>4</v>
      </c>
    </row>
    <row r="9" spans="1:2">
      <c r="A9" s="8" t="s">
        <v>173</v>
      </c>
      <c r="B9">
        <v>4</v>
      </c>
    </row>
    <row r="10" spans="1:2">
      <c r="A10" s="8" t="s">
        <v>168</v>
      </c>
      <c r="B10">
        <v>4</v>
      </c>
    </row>
    <row r="11" spans="1:2">
      <c r="A11" s="8" t="s">
        <v>172</v>
      </c>
      <c r="B11">
        <v>8</v>
      </c>
    </row>
    <row r="12" spans="1:2">
      <c r="A12" s="8" t="s">
        <v>170</v>
      </c>
      <c r="B12">
        <v>2</v>
      </c>
    </row>
    <row r="13" spans="1:2">
      <c r="A13" s="8" t="s">
        <v>179</v>
      </c>
      <c r="B13">
        <v>6</v>
      </c>
    </row>
    <row r="14" spans="1:2">
      <c r="A14" s="8" t="s">
        <v>175</v>
      </c>
      <c r="B14">
        <v>14</v>
      </c>
    </row>
    <row r="15" spans="1:2">
      <c r="A15" s="8" t="s">
        <v>180</v>
      </c>
      <c r="B15">
        <v>4</v>
      </c>
    </row>
    <row r="16" spans="1:2">
      <c r="A16" s="8" t="s">
        <v>174</v>
      </c>
      <c r="B16">
        <v>19</v>
      </c>
    </row>
    <row r="17" spans="1:2">
      <c r="A17" s="8" t="s">
        <v>181</v>
      </c>
      <c r="B17">
        <v>8</v>
      </c>
    </row>
    <row r="18" spans="1:2">
      <c r="A18" s="8" t="s">
        <v>178</v>
      </c>
      <c r="B18">
        <v>2</v>
      </c>
    </row>
    <row r="19" spans="1:2">
      <c r="A19" s="8" t="s">
        <v>177</v>
      </c>
      <c r="B19">
        <v>11</v>
      </c>
    </row>
    <row r="20" spans="1:2">
      <c r="A20" s="8" t="s">
        <v>176</v>
      </c>
      <c r="B20">
        <v>7</v>
      </c>
    </row>
    <row r="21" spans="1:2">
      <c r="A21" s="8" t="s">
        <v>182</v>
      </c>
      <c r="B21">
        <v>2</v>
      </c>
    </row>
    <row r="22" spans="1:2">
      <c r="A22" s="8" t="s">
        <v>184</v>
      </c>
      <c r="B22">
        <v>12</v>
      </c>
    </row>
    <row r="23" spans="1:2">
      <c r="A23" s="8" t="s">
        <v>188</v>
      </c>
      <c r="B23">
        <v>1</v>
      </c>
    </row>
    <row r="24" spans="1:2">
      <c r="A24" s="8" t="s">
        <v>183</v>
      </c>
      <c r="B24">
        <v>10</v>
      </c>
    </row>
    <row r="25" spans="1:2">
      <c r="A25" s="8" t="s">
        <v>187</v>
      </c>
      <c r="B25">
        <v>1</v>
      </c>
    </row>
    <row r="26" spans="1:2">
      <c r="A26" s="8" t="s">
        <v>185</v>
      </c>
      <c r="B26">
        <v>20</v>
      </c>
    </row>
    <row r="27" spans="1:2">
      <c r="A27" s="8" t="s">
        <v>186</v>
      </c>
      <c r="B27">
        <v>3</v>
      </c>
    </row>
    <row r="28" spans="1:2">
      <c r="A28" s="8" t="s">
        <v>161</v>
      </c>
      <c r="B28">
        <v>9</v>
      </c>
    </row>
    <row r="29" spans="1:2">
      <c r="A29" s="8" t="s">
        <v>164</v>
      </c>
      <c r="B29">
        <v>8</v>
      </c>
    </row>
    <row r="30" spans="1:2">
      <c r="A30" s="8" t="s">
        <v>163</v>
      </c>
      <c r="B30">
        <v>1</v>
      </c>
    </row>
    <row r="31" spans="1:2">
      <c r="A31" s="8" t="s">
        <v>166</v>
      </c>
      <c r="B31">
        <v>3</v>
      </c>
    </row>
    <row r="32" spans="1:2">
      <c r="A32" s="8" t="s">
        <v>197</v>
      </c>
    </row>
    <row r="33" spans="1:2">
      <c r="A33" s="8" t="s">
        <v>198</v>
      </c>
      <c r="B33">
        <v>189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B04-0D24-401D-B836-1BAABA03E8E4}">
  <dimension ref="B3:B4"/>
  <sheetViews>
    <sheetView workbookViewId="0">
      <selection activeCell="B3" sqref="B3"/>
    </sheetView>
  </sheetViews>
  <sheetFormatPr defaultRowHeight="16.5"/>
  <sheetData>
    <row r="3" spans="2:2" ht="409.5">
      <c r="B3" s="4" t="s">
        <v>190</v>
      </c>
    </row>
    <row r="4" spans="2:2">
      <c r="B4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1DA4-3185-4593-B588-2BEE3E3D3593}">
  <dimension ref="A1:I9"/>
  <sheetViews>
    <sheetView workbookViewId="0">
      <selection activeCell="B8" sqref="B8"/>
    </sheetView>
  </sheetViews>
  <sheetFormatPr defaultRowHeight="16.5"/>
  <sheetData>
    <row r="1" spans="1:9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278</v>
      </c>
      <c r="G1" t="s">
        <v>288</v>
      </c>
      <c r="H1" t="s">
        <v>289</v>
      </c>
      <c r="I1" t="s">
        <v>290</v>
      </c>
    </row>
    <row r="2" spans="1:9">
      <c r="A2">
        <v>10766</v>
      </c>
      <c r="B2">
        <v>17352</v>
      </c>
      <c r="C2">
        <v>1132.591552734375</v>
      </c>
      <c r="D2">
        <v>1132.090087890625</v>
      </c>
      <c r="E2">
        <v>2</v>
      </c>
      <c r="F2">
        <v>2263.1723357812498</v>
      </c>
      <c r="G2">
        <v>17392</v>
      </c>
      <c r="H2" t="s">
        <v>291</v>
      </c>
      <c r="I2" t="s">
        <v>292</v>
      </c>
    </row>
    <row r="3" spans="1:9">
      <c r="A3">
        <v>10827</v>
      </c>
      <c r="B3">
        <v>17463</v>
      </c>
      <c r="C3">
        <v>1024.5335693359375</v>
      </c>
      <c r="D3">
        <v>1024.5335693359375</v>
      </c>
      <c r="E3">
        <v>2</v>
      </c>
      <c r="F3">
        <v>2048.0592986718748</v>
      </c>
      <c r="G3">
        <v>17499</v>
      </c>
      <c r="H3" t="s">
        <v>293</v>
      </c>
      <c r="I3" t="s">
        <v>294</v>
      </c>
    </row>
    <row r="4" spans="1:9">
      <c r="A4">
        <v>10846</v>
      </c>
      <c r="B4">
        <v>17498</v>
      </c>
      <c r="C4">
        <v>1030.5435791015625</v>
      </c>
      <c r="D4">
        <v>1030.0457763671875</v>
      </c>
      <c r="E4">
        <v>2</v>
      </c>
      <c r="F4">
        <v>2059.0837127343748</v>
      </c>
      <c r="G4">
        <v>17537</v>
      </c>
      <c r="H4" t="s">
        <v>295</v>
      </c>
      <c r="I4" t="s">
        <v>296</v>
      </c>
    </row>
    <row r="5" spans="1:9">
      <c r="A5">
        <v>10906</v>
      </c>
      <c r="B5">
        <v>17609</v>
      </c>
      <c r="C5">
        <v>1025.034912109375</v>
      </c>
      <c r="D5">
        <v>1024.53369140625</v>
      </c>
      <c r="E5">
        <v>2</v>
      </c>
      <c r="F5">
        <v>2048.0595428124998</v>
      </c>
      <c r="G5">
        <v>17649</v>
      </c>
      <c r="H5" t="s">
        <v>297</v>
      </c>
      <c r="I5" t="s">
        <v>298</v>
      </c>
    </row>
    <row r="6" spans="1:9">
      <c r="A6">
        <v>10943</v>
      </c>
      <c r="B6">
        <v>17680</v>
      </c>
      <c r="C6">
        <v>1030.54248046875</v>
      </c>
      <c r="D6">
        <v>1030.040771484375</v>
      </c>
      <c r="E6">
        <v>2</v>
      </c>
      <c r="F6">
        <v>2059.0737029687498</v>
      </c>
      <c r="G6">
        <v>17720</v>
      </c>
      <c r="H6" t="s">
        <v>299</v>
      </c>
      <c r="I6" t="s">
        <v>300</v>
      </c>
    </row>
    <row r="7" spans="1:9">
      <c r="A7">
        <v>10974</v>
      </c>
      <c r="B7">
        <v>17717</v>
      </c>
      <c r="C7">
        <v>1292.6663818359375</v>
      </c>
      <c r="D7">
        <v>1292.167236328125</v>
      </c>
      <c r="E7">
        <v>2</v>
      </c>
      <c r="F7">
        <v>2583.3266326562498</v>
      </c>
      <c r="G7">
        <v>17770</v>
      </c>
      <c r="H7" t="s">
        <v>301</v>
      </c>
      <c r="I7" t="s">
        <v>302</v>
      </c>
    </row>
    <row r="8" spans="1:9">
      <c r="A8">
        <v>11029</v>
      </c>
      <c r="B8">
        <v>17826</v>
      </c>
      <c r="C8">
        <v>862.11492919921875</v>
      </c>
      <c r="D8">
        <v>861.46185302734375</v>
      </c>
      <c r="E8">
        <v>3</v>
      </c>
      <c r="F8">
        <v>2582.3698790820313</v>
      </c>
      <c r="G8">
        <v>17882</v>
      </c>
      <c r="H8" t="s">
        <v>303</v>
      </c>
      <c r="I8" t="s">
        <v>304</v>
      </c>
    </row>
    <row r="9" spans="1:9">
      <c r="A9">
        <v>11065</v>
      </c>
      <c r="B9">
        <v>17905</v>
      </c>
      <c r="C9">
        <v>1292.66796875</v>
      </c>
      <c r="D9">
        <v>1292.1661376953125</v>
      </c>
      <c r="E9">
        <v>2</v>
      </c>
      <c r="F9">
        <v>2583.3244353906248</v>
      </c>
      <c r="G9">
        <v>17954</v>
      </c>
      <c r="H9" t="s">
        <v>305</v>
      </c>
      <c r="I9" t="s">
        <v>306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40DA-3BDF-4872-BCA4-93ED993278BC}">
  <dimension ref="A1:KA10"/>
  <sheetViews>
    <sheetView topLeftCell="JC1" workbookViewId="0">
      <selection activeCell="JX2" sqref="JX2:JX9"/>
    </sheetView>
  </sheetViews>
  <sheetFormatPr defaultRowHeight="16.5"/>
  <sheetData>
    <row r="1" spans="1:287">
      <c r="A1" t="s">
        <v>278</v>
      </c>
      <c r="B1">
        <v>189.1121</v>
      </c>
      <c r="C1">
        <v>205.1071</v>
      </c>
      <c r="D1">
        <v>219.12270000000001</v>
      </c>
      <c r="E1">
        <v>246.1336</v>
      </c>
      <c r="F1">
        <v>260.14920000000001</v>
      </c>
      <c r="G1">
        <v>264.14420000000001</v>
      </c>
      <c r="H1">
        <v>278.15980000000002</v>
      </c>
      <c r="I1">
        <v>303.1438</v>
      </c>
      <c r="J1">
        <v>335.17</v>
      </c>
      <c r="K1">
        <v>344.17039999999997</v>
      </c>
      <c r="L1">
        <v>374.18099999999998</v>
      </c>
      <c r="M1">
        <v>376.19659999999999</v>
      </c>
      <c r="N1">
        <v>406.2072</v>
      </c>
      <c r="O1">
        <v>409.20679999999999</v>
      </c>
      <c r="P1">
        <v>420.22280000000001</v>
      </c>
      <c r="Q1">
        <v>423.22250000000003</v>
      </c>
      <c r="R1">
        <v>450.23340000000002</v>
      </c>
      <c r="S1">
        <v>452.24900000000002</v>
      </c>
      <c r="T1">
        <v>464.24900000000002</v>
      </c>
      <c r="U1">
        <v>509.27050000000003</v>
      </c>
      <c r="V1">
        <v>523.28610000000003</v>
      </c>
      <c r="W1">
        <v>566.28070000000002</v>
      </c>
      <c r="X1">
        <v>580.29639999999995</v>
      </c>
      <c r="Y1">
        <v>596.29129999999998</v>
      </c>
      <c r="Z1">
        <v>624.32259999999997</v>
      </c>
      <c r="AA1">
        <v>638.33820000000003</v>
      </c>
      <c r="AB1">
        <v>654.33309999999994</v>
      </c>
      <c r="AC1">
        <v>668.34879999999998</v>
      </c>
      <c r="AD1">
        <v>697.37530000000004</v>
      </c>
      <c r="AE1">
        <v>713.37030000000004</v>
      </c>
      <c r="AF1">
        <v>755.89099999999996</v>
      </c>
      <c r="AG1">
        <v>756.38300000000004</v>
      </c>
      <c r="AH1">
        <v>770.8963</v>
      </c>
      <c r="AI1">
        <v>776.8963</v>
      </c>
      <c r="AJ1">
        <v>777.90409999999997</v>
      </c>
      <c r="AK1">
        <v>784.39670000000001</v>
      </c>
      <c r="AL1">
        <v>785.90160000000003</v>
      </c>
      <c r="AM1">
        <v>793.39660000000003</v>
      </c>
      <c r="AN1">
        <v>798.41740000000004</v>
      </c>
      <c r="AO1">
        <v>799.40139999999997</v>
      </c>
      <c r="AP1">
        <v>804.41740000000004</v>
      </c>
      <c r="AQ1">
        <v>806.41489999999999</v>
      </c>
      <c r="AR1">
        <v>811.40700000000004</v>
      </c>
      <c r="AS1">
        <v>814.4067</v>
      </c>
      <c r="AT1">
        <v>825.42269999999996</v>
      </c>
      <c r="AU1">
        <v>828.42240000000004</v>
      </c>
      <c r="AV1">
        <v>834.92</v>
      </c>
      <c r="AW1">
        <v>842.43799999999999</v>
      </c>
      <c r="AX1">
        <v>843.42759999999998</v>
      </c>
      <c r="AY1">
        <v>850.43550000000005</v>
      </c>
      <c r="AZ1">
        <v>857.94090000000006</v>
      </c>
      <c r="BA1">
        <v>858.43290000000002</v>
      </c>
      <c r="BB1">
        <v>863.94090000000006</v>
      </c>
      <c r="BC1">
        <v>864.43849999999998</v>
      </c>
      <c r="BD1">
        <v>864.94870000000003</v>
      </c>
      <c r="BE1">
        <v>871.44640000000004</v>
      </c>
      <c r="BF1">
        <v>872.44860000000006</v>
      </c>
      <c r="BG1">
        <v>872.94619999999998</v>
      </c>
      <c r="BH1">
        <v>878.94619999999998</v>
      </c>
      <c r="BI1">
        <v>879.95399999999995</v>
      </c>
      <c r="BJ1">
        <v>887.45950000000005</v>
      </c>
      <c r="BK1">
        <v>887.95150000000001</v>
      </c>
      <c r="BL1">
        <v>893.45950000000005</v>
      </c>
      <c r="BM1">
        <v>899.45950000000005</v>
      </c>
      <c r="BN1">
        <v>900.46730000000002</v>
      </c>
      <c r="BO1">
        <v>901.45129999999995</v>
      </c>
      <c r="BP1">
        <v>908.46479999999997</v>
      </c>
      <c r="BQ1">
        <v>916.45659999999998</v>
      </c>
      <c r="BR1">
        <v>917.47</v>
      </c>
      <c r="BS1">
        <v>921.96460000000002</v>
      </c>
      <c r="BT1">
        <v>935.98590000000002</v>
      </c>
      <c r="BU1">
        <v>936.96990000000005</v>
      </c>
      <c r="BV1">
        <v>943.97770000000003</v>
      </c>
      <c r="BW1">
        <v>945.47749999999996</v>
      </c>
      <c r="BX1">
        <v>951.48310000000004</v>
      </c>
      <c r="BY1">
        <v>957.48310000000004</v>
      </c>
      <c r="BZ1">
        <v>958.49099999999999</v>
      </c>
      <c r="CA1">
        <v>959.99080000000004</v>
      </c>
      <c r="CB1">
        <v>965.99080000000004</v>
      </c>
      <c r="CC1">
        <v>966.48839999999996</v>
      </c>
      <c r="CD1">
        <v>966.99860000000001</v>
      </c>
      <c r="CE1">
        <v>972.99860000000001</v>
      </c>
      <c r="CF1">
        <v>973.49620000000004</v>
      </c>
      <c r="CG1">
        <v>974.99609999999996</v>
      </c>
      <c r="CH1">
        <v>980.50409999999999</v>
      </c>
      <c r="CI1">
        <v>980.99609999999996</v>
      </c>
      <c r="CJ1">
        <v>981.49369999999999</v>
      </c>
      <c r="CK1">
        <v>982.00390000000004</v>
      </c>
      <c r="CL1">
        <v>985.49620000000004</v>
      </c>
      <c r="CM1">
        <v>995.50940000000003</v>
      </c>
      <c r="CN1">
        <v>1002.5172</v>
      </c>
      <c r="CO1">
        <v>1010.5146</v>
      </c>
      <c r="CP1">
        <v>1015.5068</v>
      </c>
      <c r="CQ1">
        <v>1024.0145</v>
      </c>
      <c r="CR1">
        <v>1029.5225</v>
      </c>
      <c r="CS1">
        <v>1030.0382999999999</v>
      </c>
      <c r="CT1">
        <v>1032.5220999999999</v>
      </c>
      <c r="CU1">
        <v>1039.0198</v>
      </c>
      <c r="CV1">
        <v>1044.5277000000001</v>
      </c>
      <c r="CW1">
        <v>1045.5174</v>
      </c>
      <c r="CX1">
        <v>1046.0275999999999</v>
      </c>
      <c r="CY1">
        <v>1053.5329999999999</v>
      </c>
      <c r="CZ1">
        <v>1059.5329999999999</v>
      </c>
      <c r="DA1">
        <v>1060.5409</v>
      </c>
      <c r="DB1">
        <v>1062.5327</v>
      </c>
      <c r="DC1">
        <v>1066.5409</v>
      </c>
      <c r="DD1">
        <v>1068.0407</v>
      </c>
      <c r="DE1">
        <v>1068.5382999999999</v>
      </c>
      <c r="DF1">
        <v>1069.0485000000001</v>
      </c>
      <c r="DG1">
        <v>1075.5461</v>
      </c>
      <c r="DH1">
        <v>1082.5540000000001</v>
      </c>
      <c r="DI1">
        <v>1083.5436</v>
      </c>
      <c r="DJ1">
        <v>1089.0516</v>
      </c>
      <c r="DK1">
        <v>1091.5591999999999</v>
      </c>
      <c r="DL1">
        <v>1097.5591999999999</v>
      </c>
      <c r="DM1">
        <v>1103.5591999999999</v>
      </c>
      <c r="DN1">
        <v>1104.5671</v>
      </c>
      <c r="DO1">
        <v>1111.0590999999999</v>
      </c>
      <c r="DP1">
        <v>1112.5645</v>
      </c>
      <c r="DQ1">
        <v>1117.5567000000001</v>
      </c>
      <c r="DR1">
        <v>1121.5698</v>
      </c>
      <c r="DS1">
        <v>1124.5645</v>
      </c>
      <c r="DT1">
        <v>1126.5907</v>
      </c>
      <c r="DU1">
        <v>1132.5858000000001</v>
      </c>
      <c r="DV1">
        <v>1133.0722000000001</v>
      </c>
      <c r="DW1">
        <v>1141.0696</v>
      </c>
      <c r="DX1">
        <v>1144.5858000000001</v>
      </c>
      <c r="DY1">
        <v>1146.5776000000001</v>
      </c>
      <c r="DZ1">
        <v>1161.5829000000001</v>
      </c>
      <c r="EA1">
        <v>1162.5907</v>
      </c>
      <c r="EB1">
        <v>1162.5963999999999</v>
      </c>
      <c r="EC1">
        <v>1168.5907</v>
      </c>
      <c r="ED1">
        <v>1176.0962</v>
      </c>
      <c r="EE1">
        <v>1177.596</v>
      </c>
      <c r="EF1">
        <v>1183.104</v>
      </c>
      <c r="EG1">
        <v>1184.6038000000001</v>
      </c>
      <c r="EH1">
        <v>1189.596</v>
      </c>
      <c r="EI1">
        <v>1191.1015</v>
      </c>
      <c r="EJ1">
        <v>1191.6116999999999</v>
      </c>
      <c r="EK1">
        <v>1198.1093000000001</v>
      </c>
      <c r="EL1">
        <v>1198.6195</v>
      </c>
      <c r="EM1">
        <v>1199.6090999999999</v>
      </c>
      <c r="EN1">
        <v>1203.6116999999999</v>
      </c>
      <c r="EO1">
        <v>1206.617</v>
      </c>
      <c r="EP1">
        <v>1219.6066000000001</v>
      </c>
      <c r="EQ1">
        <v>1226.6143999999999</v>
      </c>
      <c r="ER1">
        <v>1233.6222</v>
      </c>
      <c r="ES1">
        <v>1236.6219000000001</v>
      </c>
      <c r="ET1">
        <v>1240.1198999999999</v>
      </c>
      <c r="EU1">
        <v>1247.1277</v>
      </c>
      <c r="EV1">
        <v>1248.6275000000001</v>
      </c>
      <c r="EW1">
        <v>1249.6171999999999</v>
      </c>
      <c r="EX1">
        <v>1255.6352999999999</v>
      </c>
      <c r="EY1">
        <v>1263.1407999999999</v>
      </c>
      <c r="EZ1">
        <v>1263.6328000000001</v>
      </c>
      <c r="FA1">
        <v>1266.6324999999999</v>
      </c>
      <c r="FB1">
        <v>1270.1486</v>
      </c>
      <c r="FC1">
        <v>1277.6485</v>
      </c>
      <c r="FD1">
        <v>1278.1460999999999</v>
      </c>
      <c r="FE1">
        <v>1285.1539</v>
      </c>
      <c r="FF1">
        <v>1292.1617000000001</v>
      </c>
      <c r="FG1">
        <v>1293.1514</v>
      </c>
      <c r="FH1">
        <v>1293.6615999999999</v>
      </c>
      <c r="FI1">
        <v>1295.6590000000001</v>
      </c>
      <c r="FJ1">
        <v>1300.1592000000001</v>
      </c>
      <c r="FK1">
        <v>1301.6590000000001</v>
      </c>
      <c r="FL1">
        <v>1307.6590000000001</v>
      </c>
      <c r="FM1">
        <v>1315.1587999999999</v>
      </c>
      <c r="FN1">
        <v>1328.6642999999999</v>
      </c>
      <c r="FO1">
        <v>1330.1641</v>
      </c>
      <c r="FP1">
        <v>1336.6856</v>
      </c>
      <c r="FQ1">
        <v>1342.1696999999999</v>
      </c>
      <c r="FR1">
        <v>1348.6856</v>
      </c>
      <c r="FS1">
        <v>1349.1776</v>
      </c>
      <c r="FT1">
        <v>1362.7012</v>
      </c>
      <c r="FU1">
        <v>1366.6960999999999</v>
      </c>
      <c r="FV1">
        <v>1371.6883</v>
      </c>
      <c r="FW1">
        <v>1372.1985</v>
      </c>
      <c r="FX1">
        <v>1378.6960999999999</v>
      </c>
      <c r="FY1">
        <v>1380.1959999999999</v>
      </c>
      <c r="FZ1">
        <v>1387.2038</v>
      </c>
      <c r="GA1">
        <v>1388.7036000000001</v>
      </c>
      <c r="GB1">
        <v>1393.6958</v>
      </c>
      <c r="GC1">
        <v>1394.2116000000001</v>
      </c>
      <c r="GD1">
        <v>1395.2012</v>
      </c>
      <c r="GE1">
        <v>1407.7113999999999</v>
      </c>
      <c r="GF1">
        <v>1407.7227</v>
      </c>
      <c r="GG1">
        <v>1408.7011</v>
      </c>
      <c r="GH1">
        <v>1423.7064</v>
      </c>
      <c r="GI1">
        <v>1437.722</v>
      </c>
      <c r="GJ1">
        <v>1440.7217000000001</v>
      </c>
      <c r="GK1">
        <v>1451.2275</v>
      </c>
      <c r="GL1">
        <v>1452.7273</v>
      </c>
      <c r="GM1">
        <v>1458.7329</v>
      </c>
      <c r="GN1">
        <v>1464.7329</v>
      </c>
      <c r="GO1">
        <v>1465.7407000000001</v>
      </c>
      <c r="GP1">
        <v>1467.2406000000001</v>
      </c>
      <c r="GQ1">
        <v>1472.7485999999999</v>
      </c>
      <c r="GR1">
        <v>1473.7382</v>
      </c>
      <c r="GS1">
        <v>1480.7460000000001</v>
      </c>
      <c r="GT1">
        <v>1481.2562</v>
      </c>
      <c r="GU1">
        <v>1481.7482</v>
      </c>
      <c r="GV1">
        <v>1482.2457999999999</v>
      </c>
      <c r="GW1">
        <v>1489.2537</v>
      </c>
      <c r="GX1">
        <v>1497.2511</v>
      </c>
      <c r="GY1">
        <v>1502.7535</v>
      </c>
      <c r="GZ1">
        <v>1510.7747999999999</v>
      </c>
      <c r="HA1">
        <v>1511.7588000000001</v>
      </c>
      <c r="HB1">
        <v>1516.259</v>
      </c>
      <c r="HC1">
        <v>1517.7588000000001</v>
      </c>
      <c r="HD1">
        <v>1531.2642000000001</v>
      </c>
      <c r="HE1">
        <v>1532.7641000000001</v>
      </c>
      <c r="HF1">
        <v>1540.7853</v>
      </c>
      <c r="HG1">
        <v>1545.7774999999999</v>
      </c>
      <c r="HH1">
        <v>1546.2695000000001</v>
      </c>
      <c r="HI1">
        <v>1552.7853</v>
      </c>
      <c r="HJ1">
        <v>1554.8009999999999</v>
      </c>
      <c r="HK1">
        <v>1560.7828</v>
      </c>
      <c r="HL1">
        <v>1561.2747999999999</v>
      </c>
      <c r="HM1">
        <v>1567.7906</v>
      </c>
      <c r="HN1">
        <v>1570.7959000000001</v>
      </c>
      <c r="HO1">
        <v>1574.7893999999999</v>
      </c>
      <c r="HP1">
        <v>1575.7881</v>
      </c>
      <c r="HQ1">
        <v>1576.2982999999999</v>
      </c>
      <c r="HR1">
        <v>1582.7959000000001</v>
      </c>
      <c r="HS1">
        <v>1590.7934</v>
      </c>
      <c r="HT1">
        <v>1591.3036</v>
      </c>
      <c r="HU1">
        <v>1595.8275000000001</v>
      </c>
      <c r="HV1">
        <v>1597.7955999999999</v>
      </c>
      <c r="HW1">
        <v>1605.7986000000001</v>
      </c>
      <c r="HX1">
        <v>1607.8275000000001</v>
      </c>
      <c r="HY1">
        <v>1611.8225</v>
      </c>
      <c r="HZ1">
        <v>1625.3167000000001</v>
      </c>
      <c r="IA1">
        <v>1627.8061</v>
      </c>
      <c r="IB1">
        <v>1640.3219999999999</v>
      </c>
      <c r="IC1">
        <v>1654.8352</v>
      </c>
      <c r="ID1">
        <v>1655.3271999999999</v>
      </c>
      <c r="IE1">
        <v>1668.8326999999999</v>
      </c>
      <c r="IF1">
        <v>1669.8405</v>
      </c>
      <c r="IG1">
        <v>1676.8483000000001</v>
      </c>
      <c r="IH1">
        <v>1684.8458000000001</v>
      </c>
      <c r="II1">
        <v>1685.848</v>
      </c>
      <c r="IJ1">
        <v>1699.8511000000001</v>
      </c>
      <c r="IK1">
        <v>1699.8635999999999</v>
      </c>
      <c r="IL1">
        <v>1714.8744999999999</v>
      </c>
      <c r="IM1">
        <v>1715.8586</v>
      </c>
      <c r="IN1">
        <v>1726.8744999999999</v>
      </c>
      <c r="IO1">
        <v>1727.8697999999999</v>
      </c>
      <c r="IP1">
        <v>1728.8902</v>
      </c>
      <c r="IQ1">
        <v>1741.8853999999999</v>
      </c>
      <c r="IR1">
        <v>1744.8851</v>
      </c>
      <c r="IS1">
        <v>1756.8851</v>
      </c>
      <c r="IT1">
        <v>1758.9007999999999</v>
      </c>
      <c r="IU1">
        <v>1763.8929000000001</v>
      </c>
      <c r="IV1">
        <v>1774.8957</v>
      </c>
      <c r="IW1">
        <v>1778.8982000000001</v>
      </c>
      <c r="IX1">
        <v>1785.9117000000001</v>
      </c>
      <c r="IY1">
        <v>1793.9034999999999</v>
      </c>
      <c r="IZ1">
        <v>1799.9273000000001</v>
      </c>
      <c r="JA1">
        <v>1801.8952999999999</v>
      </c>
      <c r="JB1">
        <v>1815.9222</v>
      </c>
      <c r="JC1">
        <v>1831.9059</v>
      </c>
      <c r="JD1">
        <v>1842.9219000000001</v>
      </c>
      <c r="JE1">
        <v>1870.9644000000001</v>
      </c>
      <c r="JF1">
        <v>1872.9324999999999</v>
      </c>
      <c r="JG1">
        <v>1886.9481000000001</v>
      </c>
      <c r="JH1">
        <v>1889.9477999999999</v>
      </c>
      <c r="JI1">
        <v>1901.9590000000001</v>
      </c>
      <c r="JJ1">
        <v>1913.9590000000001</v>
      </c>
      <c r="JK1">
        <v>1915.9747</v>
      </c>
      <c r="JL1">
        <v>1918.9743000000001</v>
      </c>
      <c r="JM1">
        <v>1930.9743000000001</v>
      </c>
      <c r="JN1">
        <v>1931.9695999999999</v>
      </c>
      <c r="JO1">
        <v>1932.99</v>
      </c>
      <c r="JP1">
        <v>1944.99</v>
      </c>
      <c r="JQ1">
        <v>1945.9852000000001</v>
      </c>
      <c r="JR1">
        <v>1948.9848999999999</v>
      </c>
      <c r="JS1">
        <v>1960.0009</v>
      </c>
      <c r="JT1">
        <v>1960.9848999999999</v>
      </c>
      <c r="JU1">
        <v>1961.9801</v>
      </c>
      <c r="JV1">
        <v>1963.0005000000001</v>
      </c>
      <c r="JW1">
        <v>1990.0114000000001</v>
      </c>
      <c r="JX1" t="s">
        <v>279</v>
      </c>
      <c r="JY1" t="s">
        <v>280</v>
      </c>
      <c r="JZ1" t="s">
        <v>281</v>
      </c>
      <c r="KA1" t="s">
        <v>282</v>
      </c>
    </row>
    <row r="2" spans="1:287">
      <c r="A2">
        <v>2263.1723357812498</v>
      </c>
      <c r="B2">
        <v>5.5565007531640402</v>
      </c>
      <c r="C2">
        <v>5.0394074184836199</v>
      </c>
      <c r="D2">
        <v>5.0370244914903601</v>
      </c>
      <c r="E2">
        <v>6.4004317771581603</v>
      </c>
      <c r="F2">
        <v>7.3457330267507297</v>
      </c>
      <c r="G2">
        <v>1</v>
      </c>
      <c r="H2">
        <v>1</v>
      </c>
      <c r="I2">
        <v>4.8755430742145203</v>
      </c>
      <c r="J2">
        <v>1</v>
      </c>
      <c r="K2">
        <v>5.5775768839229301</v>
      </c>
      <c r="L2">
        <v>5.31198700003947</v>
      </c>
      <c r="M2">
        <v>5.1347861364804297</v>
      </c>
      <c r="N2">
        <v>1</v>
      </c>
      <c r="O2">
        <v>1</v>
      </c>
      <c r="P2">
        <v>5.4310525716779496</v>
      </c>
      <c r="Q2">
        <v>1</v>
      </c>
      <c r="R2">
        <v>6.0491826984542003</v>
      </c>
      <c r="S2">
        <v>4.9884994721014202</v>
      </c>
      <c r="T2">
        <v>6.94226799352555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5.3147146656011497</v>
      </c>
      <c r="AB2">
        <v>5.04466311154808</v>
      </c>
      <c r="AC2">
        <v>5.29869021954757</v>
      </c>
      <c r="AD2">
        <v>4.86388990429875</v>
      </c>
      <c r="AE2">
        <v>1</v>
      </c>
      <c r="AF2">
        <v>1</v>
      </c>
      <c r="AG2">
        <v>1</v>
      </c>
      <c r="AH2">
        <v>1</v>
      </c>
      <c r="AI2">
        <v>4.9827261680227402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5.1395043814615402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5.0068944175897396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4.8195168169940699</v>
      </c>
      <c r="DL2">
        <v>1</v>
      </c>
      <c r="DM2">
        <v>4.8760068030414496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6.0465109245389099</v>
      </c>
      <c r="DV2">
        <v>1</v>
      </c>
      <c r="DW2">
        <v>1</v>
      </c>
      <c r="DX2">
        <v>5.2229415242993698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4.7868567452999997</v>
      </c>
      <c r="FQ2">
        <v>1</v>
      </c>
      <c r="FR2">
        <v>6.0085458815584696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5.9141118724149404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4.9124532600299604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 t="s">
        <v>169</v>
      </c>
      <c r="KA2">
        <v>17392</v>
      </c>
    </row>
    <row r="3" spans="1:287">
      <c r="A3">
        <v>2048.0592986718698</v>
      </c>
      <c r="B3">
        <v>5.0279755733487503</v>
      </c>
      <c r="C3">
        <v>4.9532823346987698</v>
      </c>
      <c r="D3">
        <v>5.9591561400740298</v>
      </c>
      <c r="E3">
        <v>6.03438709396998</v>
      </c>
      <c r="F3">
        <v>7.5219380116023098</v>
      </c>
      <c r="G3">
        <v>1</v>
      </c>
      <c r="H3">
        <v>4.9013249732099302</v>
      </c>
      <c r="I3">
        <v>5.0249433351324004</v>
      </c>
      <c r="J3">
        <v>1</v>
      </c>
      <c r="K3">
        <v>5.6522276001633598</v>
      </c>
      <c r="L3">
        <v>4.9178191495836803</v>
      </c>
      <c r="M3">
        <v>5.1042240599210498</v>
      </c>
      <c r="N3">
        <v>1</v>
      </c>
      <c r="O3">
        <v>1</v>
      </c>
      <c r="P3">
        <v>4.9583718455969601</v>
      </c>
      <c r="Q3">
        <v>1</v>
      </c>
      <c r="R3">
        <v>5.1577620713269798</v>
      </c>
      <c r="S3">
        <v>1</v>
      </c>
      <c r="T3">
        <v>6.0758009858541904</v>
      </c>
      <c r="U3">
        <v>1</v>
      </c>
      <c r="V3">
        <v>5.0128252422417896</v>
      </c>
      <c r="W3">
        <v>1</v>
      </c>
      <c r="X3">
        <v>1</v>
      </c>
      <c r="Y3">
        <v>1</v>
      </c>
      <c r="Z3">
        <v>1</v>
      </c>
      <c r="AA3">
        <v>5.1457899444842097</v>
      </c>
      <c r="AB3">
        <v>5.2594366616746004</v>
      </c>
      <c r="AC3">
        <v>1</v>
      </c>
      <c r="AD3">
        <v>1</v>
      </c>
      <c r="AE3">
        <v>1</v>
      </c>
      <c r="AF3">
        <v>1</v>
      </c>
      <c r="AG3">
        <v>4.9622622066486901</v>
      </c>
      <c r="AH3">
        <v>1</v>
      </c>
      <c r="AI3">
        <v>6.1147159125044199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4.7044415588034596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4.9216583864333501</v>
      </c>
      <c r="BB3">
        <v>1</v>
      </c>
      <c r="BC3">
        <v>1</v>
      </c>
      <c r="BD3">
        <v>1</v>
      </c>
      <c r="BE3">
        <v>1</v>
      </c>
      <c r="BF3">
        <v>5.0602686076131604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5.3466896147396801</v>
      </c>
      <c r="BN3">
        <v>4.6750517716306899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4.7337283000620198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4.9719767502852896</v>
      </c>
      <c r="CQ3">
        <v>1</v>
      </c>
      <c r="CR3">
        <v>1</v>
      </c>
      <c r="CS3">
        <v>1</v>
      </c>
      <c r="CT3">
        <v>1</v>
      </c>
      <c r="CU3">
        <v>1</v>
      </c>
      <c r="CV3">
        <v>4.6319388993877499</v>
      </c>
      <c r="CW3">
        <v>1</v>
      </c>
      <c r="CX3">
        <v>1</v>
      </c>
      <c r="CY3">
        <v>1</v>
      </c>
      <c r="CZ3">
        <v>1</v>
      </c>
      <c r="DA3">
        <v>1</v>
      </c>
      <c r="DB3">
        <v>4.5466305802707296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5.1363748836679699</v>
      </c>
      <c r="DN3">
        <v>1</v>
      </c>
      <c r="DO3">
        <v>1</v>
      </c>
      <c r="DP3">
        <v>4.6475396927052497</v>
      </c>
      <c r="DQ3">
        <v>1</v>
      </c>
      <c r="DR3">
        <v>1</v>
      </c>
      <c r="DS3">
        <v>1</v>
      </c>
      <c r="DT3">
        <v>1</v>
      </c>
      <c r="DU3">
        <v>4.6520294588845497</v>
      </c>
      <c r="DV3">
        <v>1</v>
      </c>
      <c r="DW3">
        <v>1</v>
      </c>
      <c r="DX3">
        <v>5.6743386890699501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4.5410369087455003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4.79026402647197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6.3390281209296999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5.0881845563622097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6.6807982347136603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6.1305459881167401</v>
      </c>
      <c r="HJ3">
        <v>1</v>
      </c>
      <c r="HK3">
        <v>1</v>
      </c>
      <c r="HL3">
        <v>1</v>
      </c>
      <c r="HM3">
        <v>1</v>
      </c>
      <c r="HN3">
        <v>5.1763320334719101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5.0982179821482703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 t="s">
        <v>166</v>
      </c>
      <c r="KA3">
        <v>17499</v>
      </c>
    </row>
    <row r="4" spans="1:287">
      <c r="A4">
        <v>2059.0837127343698</v>
      </c>
      <c r="B4">
        <v>7.1770860285344202</v>
      </c>
      <c r="C4">
        <v>5.7035227408837796</v>
      </c>
      <c r="D4">
        <v>1</v>
      </c>
      <c r="E4">
        <v>6.9583979452993603</v>
      </c>
      <c r="F4">
        <v>8.7713818514565993</v>
      </c>
      <c r="G4">
        <v>6.5771293056811899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7.1267233268040098</v>
      </c>
      <c r="Q4">
        <v>1</v>
      </c>
      <c r="R4">
        <v>1</v>
      </c>
      <c r="S4">
        <v>6.5689410090312004</v>
      </c>
      <c r="T4">
        <v>7.2140941094914401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7.4130214917271804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6.4429546658977497</v>
      </c>
      <c r="BN4">
        <v>6.3950322217023796</v>
      </c>
      <c r="BO4">
        <v>1</v>
      </c>
      <c r="BP4">
        <v>1</v>
      </c>
      <c r="BQ4">
        <v>1</v>
      </c>
      <c r="BR4">
        <v>1</v>
      </c>
      <c r="BS4">
        <v>1</v>
      </c>
      <c r="BT4">
        <v>6.4325089111398697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6.3892312236514899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6.2127124204743502</v>
      </c>
      <c r="DN4">
        <v>6.0022974038208696</v>
      </c>
      <c r="DO4">
        <v>1</v>
      </c>
      <c r="DP4">
        <v>6.2276530318038601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7.28737312841647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5.9438970749606996</v>
      </c>
      <c r="FQ4">
        <v>1</v>
      </c>
      <c r="FR4">
        <v>7.6252360825163903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6.0797273050107501</v>
      </c>
      <c r="HV4">
        <v>1</v>
      </c>
      <c r="HW4">
        <v>1</v>
      </c>
      <c r="HX4">
        <v>6.2078112346837999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6.14894171858821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 t="s">
        <v>167</v>
      </c>
      <c r="KA4">
        <v>17537</v>
      </c>
    </row>
    <row r="5" spans="1:287">
      <c r="A5">
        <v>2048.0595428124998</v>
      </c>
      <c r="B5">
        <v>5.51127272726686</v>
      </c>
      <c r="C5">
        <v>5.1546308102873102</v>
      </c>
      <c r="D5">
        <v>6.0590089256602102</v>
      </c>
      <c r="E5">
        <v>6.28974540302434</v>
      </c>
      <c r="F5">
        <v>7.6477427279463903</v>
      </c>
      <c r="G5">
        <v>1</v>
      </c>
      <c r="H5">
        <v>4.9276887842442196</v>
      </c>
      <c r="I5">
        <v>1</v>
      </c>
      <c r="J5">
        <v>1</v>
      </c>
      <c r="K5">
        <v>5.4725766555909496</v>
      </c>
      <c r="L5">
        <v>4.8643109125802804</v>
      </c>
      <c r="M5">
        <v>1</v>
      </c>
      <c r="N5">
        <v>1</v>
      </c>
      <c r="O5">
        <v>5.0064517098268402</v>
      </c>
      <c r="P5">
        <v>1</v>
      </c>
      <c r="Q5">
        <v>1</v>
      </c>
      <c r="R5">
        <v>5.1703581623512402</v>
      </c>
      <c r="S5">
        <v>1</v>
      </c>
      <c r="T5">
        <v>6.73176035415079</v>
      </c>
      <c r="U5">
        <v>1</v>
      </c>
      <c r="V5">
        <v>5.0670227724001098</v>
      </c>
      <c r="W5">
        <v>1</v>
      </c>
      <c r="X5">
        <v>1</v>
      </c>
      <c r="Y5">
        <v>1</v>
      </c>
      <c r="Z5">
        <v>1</v>
      </c>
      <c r="AA5">
        <v>1</v>
      </c>
      <c r="AB5">
        <v>5.1524245179345796</v>
      </c>
      <c r="AC5">
        <v>5.4575227128714499</v>
      </c>
      <c r="AD5">
        <v>1</v>
      </c>
      <c r="AE5">
        <v>1</v>
      </c>
      <c r="AF5">
        <v>1</v>
      </c>
      <c r="AG5">
        <v>5.0333745866979198</v>
      </c>
      <c r="AH5">
        <v>1</v>
      </c>
      <c r="AI5">
        <v>6.0281574236451503</v>
      </c>
      <c r="AJ5">
        <v>5.4110296529690904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5.1870235876185102</v>
      </c>
      <c r="BG5">
        <v>1</v>
      </c>
      <c r="BH5">
        <v>1</v>
      </c>
      <c r="BI5">
        <v>1</v>
      </c>
      <c r="BJ5">
        <v>5.0492300643598602</v>
      </c>
      <c r="BK5">
        <v>1</v>
      </c>
      <c r="BL5">
        <v>1</v>
      </c>
      <c r="BM5">
        <v>5.3399523270656299</v>
      </c>
      <c r="BN5">
        <v>4.8621915552981303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5.0813744559874401</v>
      </c>
      <c r="DN5">
        <v>4.9402321078686304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5.6943955066402197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5.6541639780913098</v>
      </c>
      <c r="FJ5">
        <v>1</v>
      </c>
      <c r="FK5">
        <v>1</v>
      </c>
      <c r="FL5">
        <v>6.4412371376345803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5.0810264650049204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5.3904251103462597</v>
      </c>
      <c r="GT5">
        <v>1</v>
      </c>
      <c r="GU5">
        <v>4.9793360871496004</v>
      </c>
      <c r="GV5">
        <v>1</v>
      </c>
      <c r="GW5">
        <v>1</v>
      </c>
      <c r="GX5">
        <v>1</v>
      </c>
      <c r="GY5">
        <v>1</v>
      </c>
      <c r="GZ5">
        <v>1</v>
      </c>
      <c r="HA5">
        <v>6.6443972261188904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6.0813448320304397</v>
      </c>
      <c r="HJ5">
        <v>5.5261777804587204</v>
      </c>
      <c r="HK5">
        <v>1</v>
      </c>
      <c r="HL5">
        <v>1</v>
      </c>
      <c r="HM5">
        <v>1</v>
      </c>
      <c r="HN5">
        <v>4.9207845858471302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 t="s">
        <v>166</v>
      </c>
      <c r="KA5">
        <v>17649</v>
      </c>
    </row>
    <row r="6" spans="1:287">
      <c r="A6">
        <v>2059.0737029687498</v>
      </c>
      <c r="B6">
        <v>5.8374986742405603</v>
      </c>
      <c r="C6">
        <v>4.6760302774216402</v>
      </c>
      <c r="D6">
        <v>4.8743534881688797</v>
      </c>
      <c r="E6">
        <v>5.9816127893206597</v>
      </c>
      <c r="F6">
        <v>7.4138059921162203</v>
      </c>
      <c r="G6">
        <v>5.2631338657111701</v>
      </c>
      <c r="H6">
        <v>1</v>
      </c>
      <c r="I6">
        <v>4.6689135109297197</v>
      </c>
      <c r="J6">
        <v>1</v>
      </c>
      <c r="K6">
        <v>5.5178833749137199</v>
      </c>
      <c r="L6">
        <v>5.0224303447488596</v>
      </c>
      <c r="M6">
        <v>4.9938867219684804</v>
      </c>
      <c r="N6">
        <v>1</v>
      </c>
      <c r="O6">
        <v>1</v>
      </c>
      <c r="P6">
        <v>5.7490584695449698</v>
      </c>
      <c r="Q6">
        <v>1</v>
      </c>
      <c r="R6">
        <v>5.8927726147942199</v>
      </c>
      <c r="S6">
        <v>5.25510400423659</v>
      </c>
      <c r="T6">
        <v>5.9454301918272296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4.7713968022482103</v>
      </c>
      <c r="AC6">
        <v>4.54265279943714</v>
      </c>
      <c r="AD6">
        <v>4.5992734042653902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6.0415885978410104</v>
      </c>
      <c r="AQ6">
        <v>1</v>
      </c>
      <c r="AR6">
        <v>1</v>
      </c>
      <c r="AS6">
        <v>1</v>
      </c>
      <c r="AT6">
        <v>4.6499667685955197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5.1091054348888498</v>
      </c>
      <c r="BN6">
        <v>5.1592854055943898</v>
      </c>
      <c r="BO6">
        <v>1</v>
      </c>
      <c r="BP6">
        <v>1</v>
      </c>
      <c r="BQ6">
        <v>1</v>
      </c>
      <c r="BR6">
        <v>1</v>
      </c>
      <c r="BS6">
        <v>1</v>
      </c>
      <c r="BT6">
        <v>4.8802634561044602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4.7060833119553598</v>
      </c>
      <c r="DL6">
        <v>1</v>
      </c>
      <c r="DM6">
        <v>4.9216099247412997</v>
      </c>
      <c r="DN6">
        <v>4.7272826203530602</v>
      </c>
      <c r="DO6">
        <v>1</v>
      </c>
      <c r="DP6">
        <v>5.0740826864536803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5.9826279445281996</v>
      </c>
      <c r="DY6">
        <v>4.9415266209518398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4.6036381443070802</v>
      </c>
      <c r="FQ6">
        <v>1</v>
      </c>
      <c r="FR6">
        <v>6.3635546929538496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4.7845282122354398</v>
      </c>
      <c r="HV6">
        <v>1</v>
      </c>
      <c r="HW6">
        <v>1</v>
      </c>
      <c r="HX6">
        <v>4.9860725175884699</v>
      </c>
      <c r="HY6">
        <v>4.8580568059775198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4.9963144905516801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 t="s">
        <v>167</v>
      </c>
      <c r="KA6">
        <v>17720</v>
      </c>
    </row>
    <row r="7" spans="1:287">
      <c r="A7">
        <v>2583.3266326562498</v>
      </c>
      <c r="B7">
        <v>5.1009020809997097</v>
      </c>
      <c r="C7">
        <v>4.7763489826254499</v>
      </c>
      <c r="D7">
        <v>4.7666959464641199</v>
      </c>
      <c r="E7">
        <v>5.6846727367848802</v>
      </c>
      <c r="F7">
        <v>6.1690662201444102</v>
      </c>
      <c r="G7">
        <v>1</v>
      </c>
      <c r="H7">
        <v>1</v>
      </c>
      <c r="I7">
        <v>4.9459789550590401</v>
      </c>
      <c r="J7">
        <v>1</v>
      </c>
      <c r="K7">
        <v>6.7653054822076699</v>
      </c>
      <c r="L7">
        <v>5.2801875991669096</v>
      </c>
      <c r="M7">
        <v>6.0531433546077702</v>
      </c>
      <c r="N7">
        <v>4.7449763794867597</v>
      </c>
      <c r="O7">
        <v>1</v>
      </c>
      <c r="P7">
        <v>5.4515554633461498</v>
      </c>
      <c r="Q7">
        <v>1</v>
      </c>
      <c r="R7">
        <v>5.4620034203505501</v>
      </c>
      <c r="S7">
        <v>1</v>
      </c>
      <c r="T7">
        <v>6.1521955785796001</v>
      </c>
      <c r="U7">
        <v>1</v>
      </c>
      <c r="V7">
        <v>1</v>
      </c>
      <c r="W7">
        <v>4.7259332760064403</v>
      </c>
      <c r="X7">
        <v>1</v>
      </c>
      <c r="Y7">
        <v>1</v>
      </c>
      <c r="Z7">
        <v>1</v>
      </c>
      <c r="AA7">
        <v>4.73233807143147</v>
      </c>
      <c r="AB7">
        <v>4.8249435370013503</v>
      </c>
      <c r="AC7">
        <v>4.9813806937490703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4.8634568425844904</v>
      </c>
      <c r="AL7">
        <v>1</v>
      </c>
      <c r="AM7">
        <v>5.5091012742424397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5.4623466914928498</v>
      </c>
      <c r="AU7">
        <v>4.9317116699909596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4.6837156933433697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4.7177300132454798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4.6261531847344797</v>
      </c>
      <c r="DA7">
        <v>1</v>
      </c>
      <c r="DB7">
        <v>1</v>
      </c>
      <c r="DC7">
        <v>4.9015798984031296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4.5817647694314401</v>
      </c>
      <c r="DK7">
        <v>1</v>
      </c>
      <c r="DL7">
        <v>1</v>
      </c>
      <c r="DM7">
        <v>5.3967366366159997</v>
      </c>
      <c r="DN7">
        <v>5.1758289066776202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4.7830791198529496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5.2401273651773197</v>
      </c>
      <c r="FH7">
        <v>1</v>
      </c>
      <c r="FI7">
        <v>1</v>
      </c>
      <c r="FJ7">
        <v>1</v>
      </c>
      <c r="FK7">
        <v>1</v>
      </c>
      <c r="FL7">
        <v>4.9748415501452197</v>
      </c>
      <c r="FM7">
        <v>1</v>
      </c>
      <c r="FN7">
        <v>1</v>
      </c>
      <c r="FO7">
        <v>1</v>
      </c>
      <c r="FP7">
        <v>1</v>
      </c>
      <c r="FQ7">
        <v>1</v>
      </c>
      <c r="FR7">
        <v>4.5742267410704196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4.9157437326083198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 t="s">
        <v>172</v>
      </c>
      <c r="KA7">
        <v>17770</v>
      </c>
    </row>
    <row r="8" spans="1:287">
      <c r="A8">
        <v>2582.3698790820299</v>
      </c>
      <c r="B8">
        <v>5.9076478773378902</v>
      </c>
      <c r="C8">
        <v>5.1329653498956596</v>
      </c>
      <c r="D8">
        <v>4.9297446242085599</v>
      </c>
      <c r="E8">
        <v>6.3536567049745196</v>
      </c>
      <c r="F8">
        <v>6.2946589084773699</v>
      </c>
      <c r="G8">
        <v>1</v>
      </c>
      <c r="H8">
        <v>5.0233036721030002</v>
      </c>
      <c r="I8">
        <v>4.67832859692684</v>
      </c>
      <c r="J8">
        <v>1</v>
      </c>
      <c r="K8">
        <v>7.1366554180978197</v>
      </c>
      <c r="L8">
        <v>4.9295423009104704</v>
      </c>
      <c r="M8">
        <v>6.4281419343061303</v>
      </c>
      <c r="N8">
        <v>1</v>
      </c>
      <c r="O8">
        <v>1</v>
      </c>
      <c r="P8">
        <v>5.9704921592347899</v>
      </c>
      <c r="Q8">
        <v>1</v>
      </c>
      <c r="R8">
        <v>6.1292021244442498</v>
      </c>
      <c r="S8">
        <v>5.2154853920455704</v>
      </c>
      <c r="T8">
        <v>6.43558096126214</v>
      </c>
      <c r="U8">
        <v>1</v>
      </c>
      <c r="V8">
        <v>1</v>
      </c>
      <c r="W8">
        <v>4.7611148744057896</v>
      </c>
      <c r="X8">
        <v>5.0701411941670997</v>
      </c>
      <c r="Y8">
        <v>1</v>
      </c>
      <c r="Z8">
        <v>4.8568076012481001</v>
      </c>
      <c r="AA8">
        <v>5.4118080185316897</v>
      </c>
      <c r="AB8">
        <v>5.3629240741697304</v>
      </c>
      <c r="AC8">
        <v>5.0432215486003802</v>
      </c>
      <c r="AD8">
        <v>4.6212331481122799</v>
      </c>
      <c r="AE8">
        <v>1</v>
      </c>
      <c r="AF8">
        <v>1</v>
      </c>
      <c r="AG8">
        <v>1</v>
      </c>
      <c r="AH8">
        <v>1</v>
      </c>
      <c r="AI8">
        <v>4.9110298869008</v>
      </c>
      <c r="AJ8">
        <v>4.8715980739346998</v>
      </c>
      <c r="AK8">
        <v>1</v>
      </c>
      <c r="AL8">
        <v>1</v>
      </c>
      <c r="AM8">
        <v>6.0542207461723097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5.9160980184979604</v>
      </c>
      <c r="AU8">
        <v>4.7944429437306004</v>
      </c>
      <c r="AV8">
        <v>4.6370106739438004</v>
      </c>
      <c r="AW8">
        <v>1</v>
      </c>
      <c r="AX8">
        <v>1</v>
      </c>
      <c r="AY8">
        <v>1</v>
      </c>
      <c r="AZ8">
        <v>1</v>
      </c>
      <c r="BA8">
        <v>4.5292002507550402</v>
      </c>
      <c r="BB8">
        <v>1</v>
      </c>
      <c r="BC8">
        <v>1</v>
      </c>
      <c r="BD8">
        <v>1</v>
      </c>
      <c r="BE8">
        <v>1</v>
      </c>
      <c r="BF8">
        <v>4.8106065765998398</v>
      </c>
      <c r="BG8">
        <v>4.6392613383150296</v>
      </c>
      <c r="BH8">
        <v>5.5199244405588797</v>
      </c>
      <c r="BI8">
        <v>5.12551954561832</v>
      </c>
      <c r="BJ8">
        <v>1</v>
      </c>
      <c r="BK8">
        <v>1</v>
      </c>
      <c r="BL8">
        <v>1</v>
      </c>
      <c r="BM8">
        <v>5.1605498001456196</v>
      </c>
      <c r="BN8">
        <v>4.71579898597719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4.7970251116850902</v>
      </c>
      <c r="BZ8">
        <v>4.8476833127359997</v>
      </c>
      <c r="CA8">
        <v>1</v>
      </c>
      <c r="CB8">
        <v>5.1609087785877596</v>
      </c>
      <c r="CC8">
        <v>5.3115661751674299</v>
      </c>
      <c r="CD8">
        <v>4.7498669643040303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4.6106058718467997</v>
      </c>
      <c r="CO8">
        <v>4.6228331042244903</v>
      </c>
      <c r="CP8">
        <v>5.0555809710784096</v>
      </c>
      <c r="CQ8">
        <v>1</v>
      </c>
      <c r="CR8">
        <v>4.60654641343395</v>
      </c>
      <c r="CS8">
        <v>1</v>
      </c>
      <c r="CT8">
        <v>4.5924623449942104</v>
      </c>
      <c r="CU8">
        <v>1</v>
      </c>
      <c r="CV8">
        <v>1</v>
      </c>
      <c r="CW8">
        <v>1</v>
      </c>
      <c r="CX8">
        <v>1</v>
      </c>
      <c r="CY8">
        <v>1</v>
      </c>
      <c r="CZ8">
        <v>4.6879638321369903</v>
      </c>
      <c r="DA8">
        <v>4.6932846647278899</v>
      </c>
      <c r="DB8">
        <v>1</v>
      </c>
      <c r="DC8">
        <v>4.6717609613813798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5.2246458925680601</v>
      </c>
      <c r="DK8">
        <v>1</v>
      </c>
      <c r="DL8">
        <v>1</v>
      </c>
      <c r="DM8">
        <v>5.6795084178947102</v>
      </c>
      <c r="DN8">
        <v>5.6982451458534102</v>
      </c>
      <c r="DO8">
        <v>1</v>
      </c>
      <c r="DP8">
        <v>1</v>
      </c>
      <c r="DQ8">
        <v>4.5394886801054302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4.8141873892452303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4.8690628430001803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4.8284652253334697</v>
      </c>
      <c r="FJ8">
        <v>1</v>
      </c>
      <c r="FK8">
        <v>1</v>
      </c>
      <c r="FL8">
        <v>5.54143116820042</v>
      </c>
      <c r="FM8">
        <v>1</v>
      </c>
      <c r="FN8">
        <v>1</v>
      </c>
      <c r="FO8">
        <v>1</v>
      </c>
      <c r="FP8">
        <v>4.8856701402769103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5.1238124483564702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4.5634860971152804</v>
      </c>
      <c r="IF8">
        <v>4.7057468560267504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4.5790608828201602</v>
      </c>
      <c r="IP8">
        <v>1</v>
      </c>
      <c r="IQ8">
        <v>1</v>
      </c>
      <c r="IR8">
        <v>4.63075011318133</v>
      </c>
      <c r="IS8">
        <v>4.6645492936317501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 t="s">
        <v>172</v>
      </c>
      <c r="KA8">
        <v>17882</v>
      </c>
    </row>
    <row r="9" spans="1:287">
      <c r="A9">
        <v>2583.3244353906198</v>
      </c>
      <c r="B9">
        <v>5.1104219384923697</v>
      </c>
      <c r="C9">
        <v>4.5205192260799203</v>
      </c>
      <c r="D9">
        <v>4.5864382342839898</v>
      </c>
      <c r="E9">
        <v>6.0440430927049498</v>
      </c>
      <c r="F9">
        <v>6.2747023610954598</v>
      </c>
      <c r="G9">
        <v>1</v>
      </c>
      <c r="H9">
        <v>1</v>
      </c>
      <c r="I9">
        <v>4.8644460682934696</v>
      </c>
      <c r="J9">
        <v>1</v>
      </c>
      <c r="K9">
        <v>6.9573176209239698</v>
      </c>
      <c r="L9">
        <v>5.2832305369996497</v>
      </c>
      <c r="M9">
        <v>6.2605331768314896</v>
      </c>
      <c r="N9">
        <v>1</v>
      </c>
      <c r="O9">
        <v>1</v>
      </c>
      <c r="P9">
        <v>5.4800690391681997</v>
      </c>
      <c r="Q9">
        <v>1</v>
      </c>
      <c r="R9">
        <v>5.7372884232569996</v>
      </c>
      <c r="S9">
        <v>1</v>
      </c>
      <c r="T9">
        <v>6.4776234791246798</v>
      </c>
      <c r="U9">
        <v>1</v>
      </c>
      <c r="V9">
        <v>1</v>
      </c>
      <c r="W9">
        <v>4.9421311018489202</v>
      </c>
      <c r="X9">
        <v>5.0731842805349698</v>
      </c>
      <c r="Y9">
        <v>1</v>
      </c>
      <c r="Z9">
        <v>4.7518248850640603</v>
      </c>
      <c r="AA9">
        <v>4.9007148176682396</v>
      </c>
      <c r="AB9">
        <v>4.9429864876544896</v>
      </c>
      <c r="AC9">
        <v>5.0480736380197202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4.53299690295907</v>
      </c>
      <c r="AL9">
        <v>1</v>
      </c>
      <c r="AM9">
        <v>6.0724152604790298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6.0865315288268098</v>
      </c>
      <c r="AU9">
        <v>4.8459113075768299</v>
      </c>
      <c r="AV9">
        <v>1</v>
      </c>
      <c r="AW9">
        <v>1</v>
      </c>
      <c r="AX9">
        <v>1</v>
      </c>
      <c r="AY9">
        <v>1</v>
      </c>
      <c r="AZ9">
        <v>1</v>
      </c>
      <c r="BA9">
        <v>4.5294792928574301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4.8404723220342598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4.4840085619240604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4.9072566464646501</v>
      </c>
      <c r="CQ9">
        <v>1</v>
      </c>
      <c r="CR9">
        <v>4.7245863633199399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5.4534886100272102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5.45176800183566</v>
      </c>
      <c r="DN9">
        <v>5.2173409551287397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4.7718254515080698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5.2738584286680599</v>
      </c>
      <c r="FG9">
        <v>1</v>
      </c>
      <c r="FH9">
        <v>1</v>
      </c>
      <c r="FI9">
        <v>1</v>
      </c>
      <c r="FJ9">
        <v>1</v>
      </c>
      <c r="FK9">
        <v>1</v>
      </c>
      <c r="FL9">
        <v>5.4710694806252897</v>
      </c>
      <c r="FM9">
        <v>1</v>
      </c>
      <c r="FN9">
        <v>1</v>
      </c>
      <c r="FO9">
        <v>1</v>
      </c>
      <c r="FP9">
        <v>1</v>
      </c>
      <c r="FQ9">
        <v>1</v>
      </c>
      <c r="FR9">
        <v>4.5061955224678103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5.3404794370130597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4.8912561381219097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4.8048011676309397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 t="s">
        <v>172</v>
      </c>
      <c r="KA9">
        <v>17954</v>
      </c>
    </row>
    <row r="10" spans="1:287">
      <c r="A10">
        <v>10974</v>
      </c>
      <c r="B10">
        <v>17717</v>
      </c>
      <c r="C10">
        <v>1292.6663818359375</v>
      </c>
      <c r="D10">
        <v>1292.167236328125</v>
      </c>
      <c r="E10">
        <v>2</v>
      </c>
      <c r="F10">
        <v>2583.3266326562498</v>
      </c>
      <c r="G10">
        <v>17770</v>
      </c>
      <c r="H10" t="s">
        <v>301</v>
      </c>
      <c r="I10" t="s">
        <v>302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DA65-1722-4232-88B5-A53E589EDED4}">
  <dimension ref="A1:C3"/>
  <sheetViews>
    <sheetView workbookViewId="0">
      <selection activeCell="A2" sqref="A2:C3"/>
    </sheetView>
  </sheetViews>
  <sheetFormatPr defaultRowHeight="16.5"/>
  <cols>
    <col min="1" max="1" width="22.625" customWidth="1"/>
    <col min="2" max="2" width="29.125" customWidth="1"/>
    <col min="3" max="3" width="22.75" customWidth="1"/>
  </cols>
  <sheetData>
    <row r="1" spans="1:3">
      <c r="A1" t="s">
        <v>312</v>
      </c>
      <c r="B1" t="s">
        <v>194</v>
      </c>
      <c r="C1" t="s">
        <v>310</v>
      </c>
    </row>
    <row r="2" spans="1:3">
      <c r="A2" t="s">
        <v>309</v>
      </c>
      <c r="B2" t="s">
        <v>311</v>
      </c>
      <c r="C2" t="s">
        <v>247</v>
      </c>
    </row>
    <row r="3" spans="1:3">
      <c r="A3" t="s">
        <v>309</v>
      </c>
      <c r="B3" t="s">
        <v>311</v>
      </c>
      <c r="C3" t="s">
        <v>313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Glycanlist</vt:lpstr>
      <vt:lpstr>MSlist</vt:lpstr>
      <vt:lpstr>ionlist</vt:lpstr>
      <vt:lpstr>information_sheet</vt:lpstr>
      <vt:lpstr>readme</vt:lpstr>
      <vt:lpstr>Pivot_MSlist</vt:lpstr>
      <vt:lpstr>conversion_log</vt:lpstr>
      <vt:lpstr>MS2_ref (DEMO)</vt:lpstr>
      <vt:lpstr>MAS_MLref (DEMO)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2025-12-16T11:32:21Z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