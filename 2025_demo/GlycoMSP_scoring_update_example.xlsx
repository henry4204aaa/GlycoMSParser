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30A5725F-A360-4000-BE47-50BF31AC4F2C}" xr6:coauthVersionLast="47" xr6:coauthVersionMax="47" xr10:uidLastSave="{00000000-0000-0000-0000-000000000000}"/>
  <bookViews>
    <workbookView xWindow="-120" yWindow="-120" windowWidth="29040" windowHeight="15840" activeTab="4" xr2:uid="{CFD31651-57D7-40EF-BE95-C7417EC3B9A0}"/>
  </bookViews>
  <sheets>
    <sheet name="MSlist" sheetId="6" r:id="rId1"/>
    <sheet name="ionlist" sheetId="4" r:id="rId2"/>
    <sheet name="interpretation_v2" sheetId="16" r:id="rId3"/>
    <sheet name="CompositionConsistency" sheetId="23" r:id="rId4"/>
    <sheet name="TargetHierarchy" sheetId="17" r:id="rId5"/>
    <sheet name="rule_explanation" sheetId="21" r:id="rId6"/>
    <sheet name="oldCompositionCons" sheetId="22" r:id="rId7"/>
    <sheet name="motifpolicy2" sheetId="20" r:id="rId8"/>
    <sheet name="some confrimation" sheetId="13" r:id="rId9"/>
  </sheets>
  <definedNames>
    <definedName name="_xlnm._FilterDatabase" localSheetId="1" hidden="1">ionlist!$A$1:$K$1</definedName>
    <definedName name="_xlnm._FilterDatabase" localSheetId="0" hidden="1">MSlist!$A$1:$K$1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<sst xmlns="http://schemas.openxmlformats.org/spreadsheetml/2006/main" count="514" uniqueCount="232">
  <si>
    <t>note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</si>
  <si>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</si>
  <si>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</si>
  <si>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</si>
  <si>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</si>
  <si>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</si>
  <si>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</si>
  <si>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ion type</t>
    <phoneticPr fontId="1" type="noConversion"/>
  </si>
  <si>
    <t>notes</t>
    <phoneticPr fontId="1" type="noConversion"/>
  </si>
  <si>
    <t>F1H6N4S1</t>
  </si>
  <si>
    <t>F1H6N4S2</t>
  </si>
  <si>
    <t>2H</t>
  </si>
  <si>
    <t>3H</t>
  </si>
  <si>
    <t>peak</t>
    <phoneticPr fontId="1" type="noConversion"/>
  </si>
  <si>
    <t>MS2scan_no</t>
    <phoneticPr fontId="1" type="noConversion"/>
  </si>
  <si>
    <t>Structural identifiers</t>
    <phoneticPr fontId="1" type="noConversion"/>
  </si>
  <si>
    <t>B</t>
    <phoneticPr fontId="1" type="noConversion"/>
  </si>
  <si>
    <t>HexNAc</t>
    <phoneticPr fontId="1" type="noConversion"/>
  </si>
  <si>
    <t>Neu5Ac</t>
    <phoneticPr fontId="1" type="noConversion"/>
  </si>
  <si>
    <t>Neu5Gc</t>
    <phoneticPr fontId="1" type="noConversion"/>
  </si>
  <si>
    <t>LeX</t>
  </si>
  <si>
    <t>C</t>
    <phoneticPr fontId="1" type="noConversion"/>
  </si>
  <si>
    <t>Glycotope (customizable)</t>
    <phoneticPr fontId="1" type="noConversion"/>
  </si>
  <si>
    <t>B</t>
    <phoneticPr fontId="1" type="noConversion"/>
  </si>
  <si>
    <t>Neu5Ac-Gal</t>
    <phoneticPr fontId="1" type="noConversion"/>
  </si>
  <si>
    <t>Composition</t>
    <phoneticPr fontId="1" type="noConversion"/>
  </si>
  <si>
    <t xml:space="preserve">Original output after discussion: Gal(1-4)(Fuc(1-3)-GlcNAc) OR </t>
    <phoneticPr fontId="1" type="noConversion"/>
  </si>
  <si>
    <r>
      <t>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1-3)GlcNAc-R</t>
    </r>
    <phoneticPr fontId="1" type="noConversion"/>
  </si>
  <si>
    <t>IUPAC</t>
    <phoneticPr fontId="1" type="noConversion"/>
  </si>
  <si>
    <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3)]-D-GlcpNAc-R</t>
    </r>
    <phoneticPr fontId="1" type="noConversion"/>
  </si>
  <si>
    <r>
      <t>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2-3Gal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1-4[Fuc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1-3]GlcNAc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</rPr>
      <t>-</t>
    </r>
    <r>
      <rPr>
        <sz val="12"/>
        <color theme="1"/>
        <rFont val="新細明體"/>
        <family val="2"/>
        <charset val="136"/>
        <scheme val="minor"/>
      </rPr>
      <t>R</t>
    </r>
    <phoneticPr fontId="1" type="noConversion"/>
  </si>
  <si>
    <t>Gal(b1-4)[Fuc(a1-3)]GlcNAc-</t>
    <phoneticPr fontId="1" type="noConversion"/>
  </si>
  <si>
    <t>Charge mode</t>
    <phoneticPr fontId="1" type="noConversion"/>
  </si>
  <si>
    <t>+</t>
    <phoneticPr fontId="1" type="noConversion"/>
  </si>
  <si>
    <t>Derivatization</t>
    <phoneticPr fontId="1" type="noConversion"/>
  </si>
  <si>
    <t>PerMe</t>
    <phoneticPr fontId="1" type="noConversion"/>
  </si>
  <si>
    <t>GlcNAc-</t>
    <phoneticPr fontId="1" type="noConversion"/>
  </si>
  <si>
    <t>Neu5Ac-</t>
    <phoneticPr fontId="1" type="noConversion"/>
  </si>
  <si>
    <t>Neu5Gc-</t>
    <phoneticPr fontId="1" type="noConversion"/>
  </si>
  <si>
    <t>[Neu5Ac]Gal-</t>
    <phoneticPr fontId="1" type="noConversion"/>
  </si>
  <si>
    <t>Neu5AcGal-</t>
    <phoneticPr fontId="1" type="noConversion"/>
  </si>
  <si>
    <t>BY</t>
    <phoneticPr fontId="1" type="noConversion"/>
  </si>
  <si>
    <t>sLeX</t>
    <phoneticPr fontId="1" type="noConversion"/>
  </si>
  <si>
    <t>F1H6N4S2</t>
    <phoneticPr fontId="1" type="noConversion"/>
  </si>
  <si>
    <t>Neu5Ac</t>
    <phoneticPr fontId="1" type="noConversion"/>
  </si>
  <si>
    <t>composite</t>
    <phoneticPr fontId="1" type="noConversion"/>
  </si>
  <si>
    <t>2H</t>
    <phoneticPr fontId="1" type="noConversion"/>
  </si>
  <si>
    <t>SialylLacNAc</t>
    <phoneticPr fontId="1" type="noConversion"/>
  </si>
  <si>
    <t>B</t>
    <phoneticPr fontId="1" type="noConversion"/>
  </si>
  <si>
    <t>Neu5Ac(a2-3)Gal(b1-4)GlcNAc-</t>
    <phoneticPr fontId="1" type="noConversion"/>
  </si>
  <si>
    <t>Neu5Ac[dCH3OH]-</t>
    <phoneticPr fontId="1" type="noConversion"/>
  </si>
  <si>
    <t>Neu5Gc[dCH3OH]-</t>
    <phoneticPr fontId="1" type="noConversion"/>
  </si>
  <si>
    <t>LeA</t>
    <phoneticPr fontId="1" type="noConversion"/>
  </si>
  <si>
    <t>Gal(b1-3)[Fuc(a1-4)]GlcNAc-</t>
    <phoneticPr fontId="1" type="noConversion"/>
  </si>
  <si>
    <t>LeB</t>
    <phoneticPr fontId="1" type="noConversion"/>
  </si>
  <si>
    <t>LeY</t>
    <phoneticPr fontId="1" type="noConversion"/>
  </si>
  <si>
    <t>Fuc(a1-2)Gal(b1-4)[Fuc(a1-3)]GlcNAc-</t>
    <phoneticPr fontId="1" type="noConversion"/>
  </si>
  <si>
    <r>
      <t>(Gal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1-6)(Neu5Ac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2-6Gal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1-3)Man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1-6)GlcNAc-R</t>
    </r>
    <phoneticPr fontId="1" type="noConversion"/>
  </si>
  <si>
    <t>Confirming the rule: start from later arm?</t>
    <phoneticPr fontId="1" type="noConversion"/>
  </si>
  <si>
    <t>6 arm first from up to down</t>
    <phoneticPr fontId="1" type="noConversion"/>
  </si>
  <si>
    <t>IUPAC condensed</t>
    <phoneticPr fontId="1" type="noConversion"/>
  </si>
  <si>
    <t>Residue inside (out from the chain) is inserted right before the sugar</t>
    <phoneticPr fontId="1" type="noConversion"/>
  </si>
  <si>
    <t>Fuc(a1-2)Gal(b1-3)[Fuc(a1-4)]GlcNAc-</t>
    <phoneticPr fontId="1" type="noConversion"/>
  </si>
  <si>
    <t>GlcNAc</t>
    <phoneticPr fontId="1" type="noConversion"/>
  </si>
  <si>
    <t>Fragmentation mass</t>
    <phoneticPr fontId="1" type="noConversion"/>
  </si>
  <si>
    <t>target_id</t>
  </si>
  <si>
    <t>target_level</t>
  </si>
  <si>
    <t>parent_target_id</t>
  </si>
  <si>
    <t>target_group</t>
  </si>
  <si>
    <t>ion_role</t>
  </si>
  <si>
    <t>logic</t>
  </si>
  <si>
    <t>min_hits</t>
  </si>
  <si>
    <t>weight</t>
  </si>
  <si>
    <t>charge_mode_required</t>
  </si>
  <si>
    <t>derivatization_required</t>
  </si>
  <si>
    <t>notes</t>
  </si>
  <si>
    <t>SialylLacNAc</t>
  </si>
  <si>
    <t>motif</t>
  </si>
  <si>
    <t>LacNAc_family</t>
  </si>
  <si>
    <t>Neu5Ac(a2-3)Gal(b1-4)GlcNAc-</t>
  </si>
  <si>
    <t>support</t>
  </si>
  <si>
    <t>AND</t>
  </si>
  <si>
    <t>any</t>
  </si>
  <si>
    <t>core evidence for sialylated LacNAc</t>
  </si>
  <si>
    <t>Lewis_terminal</t>
  </si>
  <si>
    <t>Gal(b1-4)[Fuc(a1-3)]GlcNAc-</t>
  </si>
  <si>
    <t>Lewis X evidence</t>
  </si>
  <si>
    <t>LeA</t>
  </si>
  <si>
    <t>Gal(b1-3)[Fuc(a1-4)]GlcNAc-</t>
  </si>
  <si>
    <t>Lewis A evidence</t>
  </si>
  <si>
    <t>exclude</t>
  </si>
  <si>
    <t>penalize LeA-marker when claiming LeX</t>
  </si>
  <si>
    <t>penalize LeX-marker when claiming LeA</t>
  </si>
  <si>
    <t>sLeX</t>
  </si>
  <si>
    <t>Neu5Ac(a2-3)Gal(b1-4)[Fuca1-3]GlcNAc-</t>
  </si>
  <si>
    <t>sLeX implies SialylLacNAc context</t>
  </si>
  <si>
    <t>allow partial support if sLeX fragment missing</t>
  </si>
  <si>
    <t>B</t>
    <phoneticPr fontId="1" type="noConversion"/>
  </si>
  <si>
    <t>LacNAc</t>
    <phoneticPr fontId="1" type="noConversion"/>
  </si>
  <si>
    <t>Gal(b1-4)GlcNAc-</t>
    <phoneticPr fontId="1" type="noConversion"/>
  </si>
  <si>
    <t>580-14</t>
    <phoneticPr fontId="1" type="noConversion"/>
  </si>
  <si>
    <t>LacDiNAc</t>
    <phoneticPr fontId="1" type="noConversion"/>
  </si>
  <si>
    <t>BGH1</t>
    <phoneticPr fontId="1" type="noConversion"/>
  </si>
  <si>
    <t>Fuc(a1-2)Gal(b1-3)GlcNAc-</t>
    <phoneticPr fontId="1" type="noConversion"/>
  </si>
  <si>
    <t>BGH1_MS3</t>
    <phoneticPr fontId="1" type="noConversion"/>
  </si>
  <si>
    <t>Oxo</t>
    <phoneticPr fontId="1" type="noConversion"/>
  </si>
  <si>
    <t>BGH2</t>
    <phoneticPr fontId="1" type="noConversion"/>
  </si>
  <si>
    <t>BGH2_MS3</t>
    <phoneticPr fontId="1" type="noConversion"/>
  </si>
  <si>
    <t>Fuc(a1-2)Gal(b1-4)GlcNAc-</t>
    <phoneticPr fontId="1" type="noConversion"/>
  </si>
  <si>
    <t>638-MeO (C3 elimination)</t>
    <phoneticPr fontId="1" type="noConversion"/>
  </si>
  <si>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2)-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4)]-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-d-GlcpNAc-(1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</t>
    </r>
    <phoneticPr fontId="1" type="noConversion"/>
  </si>
  <si>
    <t>C3 elimination</t>
    <phoneticPr fontId="1" type="noConversion"/>
  </si>
  <si>
    <t>Fuc(a1-2)Gal(b1-4)[-dCH3OH]GlcNAc-</t>
    <phoneticPr fontId="1" type="noConversion"/>
  </si>
  <si>
    <t>[Fuc(a1-4)][-dCH3OH]GlcNAc-</t>
    <phoneticPr fontId="1" type="noConversion"/>
  </si>
  <si>
    <t>LeB_MS3</t>
    <phoneticPr fontId="1" type="noConversion"/>
  </si>
  <si>
    <t>LeX_MS3</t>
    <phoneticPr fontId="1" type="noConversion"/>
  </si>
  <si>
    <t>LeA_MS3</t>
    <phoneticPr fontId="1" type="noConversion"/>
  </si>
  <si>
    <t>434-32 (C3 elimination), in paper it is 402.0 but I think should be 402.2</t>
    <phoneticPr fontId="1" type="noConversion"/>
  </si>
  <si>
    <t>LeY_MS3</t>
    <phoneticPr fontId="1" type="noConversion"/>
  </si>
  <si>
    <t>BZ</t>
    <phoneticPr fontId="1" type="noConversion"/>
  </si>
  <si>
    <t>Fuc(a1-2)Gal(b1-4)-GlcNAc-</t>
    <phoneticPr fontId="1" type="noConversion"/>
  </si>
  <si>
    <t>sLeX_MS3</t>
    <phoneticPr fontId="1" type="noConversion"/>
  </si>
  <si>
    <t>Neu5Ac(a2-3)Gal(b1-4)-GlcNAc-</t>
    <phoneticPr fontId="1" type="noConversion"/>
  </si>
  <si>
    <t>-[dCH3OH]GlcNAc-</t>
    <phoneticPr fontId="1" type="noConversion"/>
  </si>
  <si>
    <t>260-MeO (C3 elimination)  -32.0419 OR 32.0262???</t>
    <phoneticPr fontId="1" type="noConversion"/>
  </si>
  <si>
    <t>LacNAc</t>
  </si>
  <si>
    <t>B</t>
    <phoneticPr fontId="1" type="noConversion"/>
  </si>
  <si>
    <t>Gal(b1-4)GlcNAc-</t>
    <phoneticPr fontId="1" type="noConversion"/>
  </si>
  <si>
    <t>LacNAc (Type2)</t>
    <phoneticPr fontId="1" type="noConversion"/>
  </si>
  <si>
    <t>LacNAc (Type1)</t>
    <phoneticPr fontId="1" type="noConversion"/>
  </si>
  <si>
    <t>Gal(b1-3)GlcNAc-</t>
    <phoneticPr fontId="1" type="noConversion"/>
  </si>
  <si>
    <t>SialylHex</t>
    <phoneticPr fontId="1" type="noConversion"/>
  </si>
  <si>
    <t>SialylHex-</t>
    <phoneticPr fontId="1" type="noConversion"/>
  </si>
  <si>
    <t>sugar</t>
    <phoneticPr fontId="1" type="noConversion"/>
  </si>
  <si>
    <t>Sialyl terminal</t>
    <phoneticPr fontId="1" type="noConversion"/>
  </si>
  <si>
    <t>penalize if Neu5Ac is not allowed</t>
    <phoneticPr fontId="1" type="noConversion"/>
  </si>
  <si>
    <t>penalize if Neu5Gc is not allowed</t>
    <phoneticPr fontId="1" type="noConversion"/>
  </si>
  <si>
    <t>ion_struct_id</t>
    <phoneticPr fontId="1" type="noConversion"/>
  </si>
  <si>
    <t>GalNAc(b1-4)GlcNAc-</t>
    <phoneticPr fontId="1" type="noConversion"/>
  </si>
  <si>
    <t>parent_target_id</t>
    <phoneticPr fontId="1" type="noConversion"/>
  </si>
  <si>
    <t>child_target_id</t>
  </si>
  <si>
    <t>Type1_chain</t>
    <phoneticPr fontId="1" type="noConversion"/>
  </si>
  <si>
    <t>Type2_chain</t>
    <phoneticPr fontId="1" type="noConversion"/>
  </si>
  <si>
    <t>Gal(b1-3)GlcNAc backbone</t>
    <phoneticPr fontId="1" type="noConversion"/>
  </si>
  <si>
    <t>Gal(b1-4)GlcNAc backbone</t>
    <phoneticPr fontId="1" type="noConversion"/>
  </si>
  <si>
    <t>H1</t>
  </si>
  <si>
    <t>H2</t>
    <phoneticPr fontId="1" type="noConversion"/>
  </si>
  <si>
    <t>LeX</t>
    <phoneticPr fontId="1" type="noConversion"/>
  </si>
  <si>
    <t>H type-1 terminal (Fuc a1-2 on Gal)</t>
    <phoneticPr fontId="1" type="noConversion"/>
  </si>
  <si>
    <t>H type-2 terminal (Fuc a1-2 on Gal)</t>
    <phoneticPr fontId="1" type="noConversion"/>
  </si>
  <si>
    <t>Lewis A (Fuc a1-4 on GlcNAc)</t>
    <phoneticPr fontId="1" type="noConversion"/>
  </si>
  <si>
    <t>Lewis X (Fuc a1-3 on GlcNAc)</t>
    <phoneticPr fontId="1" type="noConversion"/>
  </si>
  <si>
    <t>flag_id</t>
  </si>
  <si>
    <t>activation_mode</t>
  </si>
  <si>
    <t>include_descendants</t>
  </si>
  <si>
    <t>weight_multiplier</t>
  </si>
  <si>
    <t>enable</t>
  </si>
  <si>
    <t>prefer</t>
  </si>
  <si>
    <t>BGH1_terminal</t>
  </si>
  <si>
    <t>BGH2_terminal</t>
  </si>
  <si>
    <t>LeA_terminal</t>
  </si>
  <si>
    <t>LeX_terminal</t>
  </si>
  <si>
    <t>motif</t>
    <phoneticPr fontId="1" type="noConversion"/>
  </si>
  <si>
    <t>ion name</t>
    <phoneticPr fontId="1" type="noConversion"/>
  </si>
  <si>
    <t>Terminal_trisaccharide</t>
    <phoneticPr fontId="1" type="noConversion"/>
  </si>
  <si>
    <t>forbid</t>
  </si>
  <si>
    <t>AllowBGH1</t>
    <phoneticPr fontId="1" type="noConversion"/>
  </si>
  <si>
    <t>AllowBGH2</t>
    <phoneticPr fontId="1" type="noConversion"/>
  </si>
  <si>
    <t>AllowLewis</t>
    <phoneticPr fontId="1" type="noConversion"/>
  </si>
  <si>
    <t>PreferLewis</t>
    <phoneticPr fontId="1" type="noConversion"/>
  </si>
  <si>
    <t>ForbidLewis</t>
    <phoneticPr fontId="1" type="noConversion"/>
  </si>
  <si>
    <t>Terminal GlcNAc</t>
    <phoneticPr fontId="1" type="noConversion"/>
  </si>
  <si>
    <t>in ionlist</t>
    <phoneticPr fontId="1" type="noConversion"/>
  </si>
  <si>
    <t>ion mass</t>
    <phoneticPr fontId="1" type="noConversion"/>
  </si>
  <si>
    <t>Evidence1</t>
    <phoneticPr fontId="1" type="noConversion"/>
  </si>
  <si>
    <t>Evidence2</t>
    <phoneticPr fontId="1" type="noConversion"/>
  </si>
  <si>
    <t>Evidence3</t>
    <phoneticPr fontId="1" type="noConversion"/>
  </si>
  <si>
    <t>sup/exl</t>
    <phoneticPr fontId="1" type="noConversion"/>
  </si>
  <si>
    <t>Final interpretation</t>
    <phoneticPr fontId="1" type="noConversion"/>
  </si>
  <si>
    <t>-</t>
    <phoneticPr fontId="1" type="noConversion"/>
  </si>
  <si>
    <t>GlcNAc- (possible terminal disecting NG/ terminal truncated NG)</t>
    <phoneticPr fontId="1" type="noConversion"/>
  </si>
  <si>
    <t>Case 1: Terminal HexNAc identifiacation</t>
    <phoneticPr fontId="1" type="noConversion"/>
  </si>
  <si>
    <t>Case 2: Terminal SialylLacNAc identification</t>
    <phoneticPr fontId="1" type="noConversion"/>
  </si>
  <si>
    <t>Sialyl-LacNAc (Neu5Ac)</t>
    <phoneticPr fontId="1" type="noConversion"/>
  </si>
  <si>
    <t>Neu5Gc-Gal</t>
    <phoneticPr fontId="1" type="noConversion"/>
  </si>
  <si>
    <t>Neu5Ac(a2-)Gal(b1-4)GlcNAc-</t>
    <phoneticPr fontId="1" type="noConversion"/>
  </si>
  <si>
    <t>Neu5Gc(a2-)Gal(b1-4)GlcNAc-</t>
    <phoneticPr fontId="1" type="noConversion"/>
  </si>
  <si>
    <t>Neu5Ac(a2-3)Gal(b1-4)[Fuca(1-3)]GlcNAc-</t>
    <phoneticPr fontId="1" type="noConversion"/>
  </si>
  <si>
    <t>Neu5Ac-HexNAc</t>
    <phoneticPr fontId="1" type="noConversion"/>
  </si>
  <si>
    <t>Neu5Ac-LAcDiNAc</t>
    <phoneticPr fontId="1" type="noConversion"/>
  </si>
  <si>
    <t>Neu5Ac(a2-6)GalNAc(b1-4)GlcNAc-</t>
    <phoneticPr fontId="1" type="noConversion"/>
  </si>
  <si>
    <t>only 2,6 allowed for Neu5Ac (enzyme)</t>
    <phoneticPr fontId="1" type="noConversion"/>
  </si>
  <si>
    <t>Case 3: Terminal Lewis structure</t>
    <phoneticPr fontId="1" type="noConversion"/>
  </si>
  <si>
    <t>flags</t>
    <phoneticPr fontId="1" type="noConversion"/>
  </si>
  <si>
    <t>LDNC</t>
    <phoneticPr fontId="1" type="noConversion"/>
  </si>
  <si>
    <t>Neu5Ac, LDNC</t>
    <phoneticPr fontId="1" type="noConversion"/>
  </si>
  <si>
    <t>LeA, LeX, BGH1, BGH2</t>
    <phoneticPr fontId="1" type="noConversion"/>
  </si>
  <si>
    <t>LeA_MS3</t>
  </si>
  <si>
    <t>Lewis-like</t>
    <phoneticPr fontId="1" type="noConversion"/>
  </si>
  <si>
    <t>BGH2_MS3, LeY_MS3</t>
    <phoneticPr fontId="1" type="noConversion"/>
  </si>
  <si>
    <t>target_id</t>
    <phoneticPr fontId="1" type="noConversion"/>
  </si>
  <si>
    <t>Bisect N glycan</t>
    <phoneticPr fontId="1" type="noConversion"/>
  </si>
  <si>
    <t>LacDiNAc family</t>
    <phoneticPr fontId="1" type="noConversion"/>
  </si>
  <si>
    <t>LDNC and LDNF can have repeats https://www.jbc.org/article/S0021-9258(19)60614-9/fulltext</t>
    <phoneticPr fontId="1" type="noConversion"/>
  </si>
  <si>
    <t>feature_id</t>
  </si>
  <si>
    <t>applies_when_candidate_has_target</t>
  </si>
  <si>
    <t>contradicting_target_id</t>
  </si>
  <si>
    <t>penalty</t>
  </si>
  <si>
    <t>H1_vs_LeA</t>
  </si>
  <si>
    <t>p</t>
  </si>
  <si>
    <t>H2_vs_LeA</t>
  </si>
  <si>
    <t>LeA_vs_H1</t>
  </si>
  <si>
    <t>LeA_vs_H2</t>
  </si>
  <si>
    <t>rule_id</t>
  </si>
  <si>
    <t>composition_field</t>
  </si>
  <si>
    <t>when_value</t>
  </si>
  <si>
    <t>evidence_target_id</t>
  </si>
  <si>
    <t>S0_penalize_sialyl</t>
  </si>
  <si>
    <t>S</t>
  </si>
  <si>
    <t>candidate S=0 but sialyl evidence present</t>
  </si>
  <si>
    <t>same rule family</t>
  </si>
  <si>
    <t>Neu5Ac_marker</t>
  </si>
  <si>
    <t>if you have a generic Neu5Ac diagnostic motif</t>
  </si>
  <si>
    <t>Neu5Gc_marker</t>
  </si>
  <si>
    <t>if you track G separately</t>
  </si>
  <si>
    <t>Spos_missing_sialyl</t>
    <phoneticPr fontId="1" type="noConversion"/>
  </si>
  <si>
    <t>S</t>
    <phoneticPr fontId="1" type="noConversion"/>
  </si>
  <si>
    <t>&gt;=1</t>
    <phoneticPr fontId="1" type="noConversion"/>
  </si>
  <si>
    <t>penalize absence (implement as 1-E)</t>
    <phoneticPr fontId="1" type="noConversion"/>
  </si>
  <si>
    <t>Sialylated_motifs</t>
    <phoneticPr fontId="1" type="noConversion"/>
  </si>
  <si>
    <t>Neu5Ac_marker</t>
    <phoneticPr fontId="1" type="noConversion"/>
  </si>
  <si>
    <t>Neu5Gc_marker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</si>
</sst>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2"/>
      <charset val="16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b/>
      <sz val="12"/>
      <color theme="1"/>
      <name val="新細明體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7</xdr:row>
      <xdr:rowOff>76200</xdr:rowOff>
    </xdr:from>
    <xdr:to>
      <xdr:col>6</xdr:col>
      <xdr:colOff>457859</xdr:colOff>
      <xdr:row>16</xdr:row>
      <xdr:rowOff>57411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93EEF6-6F74-A933-B045-CFA867BD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543050"/>
          <a:ext cx="4725059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K19"/>
  <sheetViews>
    <sheetView workbookViewId="0">
      <selection activeCell="C20" sqref="C20"/>
    </sheetView>
  </sheetViews>
  <sheetFormatPr defaultColWidth="8.75" defaultRowHeight="16.5"/>
  <cols>
    <col min="1" max="2" width="18.375" customWidth="1"/>
    <col min="3" max="3" width="11.125" customWidth="1"/>
  </cols>
  <sheetData>
    <row r="1" spans="1:11">
      <c r="A1" t="s">
        <v>25</v>
      </c>
      <c r="B1" t="s">
        <v>15</v>
      </c>
      <c r="C1" t="s">
        <v>14</v>
      </c>
      <c r="D1" t="s">
        <v>13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0</v>
      </c>
    </row>
    <row r="2" spans="1:11">
      <c r="A2" t="s">
        <v>9</v>
      </c>
      <c r="C2">
        <v>25410</v>
      </c>
      <c r="E2">
        <v>3</v>
      </c>
      <c r="F2" s="1">
        <v>0</v>
      </c>
      <c r="G2" t="s">
        <v>12</v>
      </c>
    </row>
    <row r="3" spans="1:11">
      <c r="A3" t="s">
        <v>9</v>
      </c>
      <c r="C3">
        <v>25012</v>
      </c>
      <c r="E3">
        <v>3</v>
      </c>
      <c r="F3" s="1">
        <v>0</v>
      </c>
      <c r="G3" t="s">
        <v>12</v>
      </c>
    </row>
    <row r="4" spans="1:11">
      <c r="A4" t="s">
        <v>9</v>
      </c>
      <c r="C4">
        <v>19376</v>
      </c>
      <c r="E4">
        <v>2</v>
      </c>
      <c r="F4" s="1">
        <v>0</v>
      </c>
      <c r="G4" t="s">
        <v>11</v>
      </c>
    </row>
    <row r="5" spans="1:11">
      <c r="A5" t="s">
        <v>9</v>
      </c>
      <c r="C5">
        <v>25253</v>
      </c>
      <c r="E5">
        <v>2</v>
      </c>
      <c r="F5" s="1">
        <v>0</v>
      </c>
      <c r="G5" t="s">
        <v>11</v>
      </c>
    </row>
    <row r="6" spans="1:11">
      <c r="A6" t="s">
        <v>9</v>
      </c>
      <c r="C6">
        <v>24797</v>
      </c>
      <c r="E6">
        <v>2</v>
      </c>
      <c r="F6" s="1">
        <v>0</v>
      </c>
      <c r="G6" t="s">
        <v>11</v>
      </c>
    </row>
    <row r="7" spans="1:11">
      <c r="A7" t="s">
        <v>9</v>
      </c>
      <c r="C7">
        <v>26112</v>
      </c>
      <c r="E7">
        <v>3</v>
      </c>
      <c r="F7" s="1">
        <v>0</v>
      </c>
      <c r="G7" t="s">
        <v>12</v>
      </c>
    </row>
    <row r="8" spans="1:11">
      <c r="A8" t="s">
        <v>9</v>
      </c>
      <c r="C8">
        <v>25865</v>
      </c>
      <c r="E8">
        <v>3</v>
      </c>
      <c r="F8" s="1">
        <v>0</v>
      </c>
      <c r="G8" t="s">
        <v>12</v>
      </c>
    </row>
    <row r="9" spans="1:11">
      <c r="A9" t="s">
        <v>9</v>
      </c>
      <c r="C9">
        <v>18942</v>
      </c>
      <c r="E9">
        <v>2</v>
      </c>
      <c r="F9" s="1">
        <v>0</v>
      </c>
      <c r="G9" t="s">
        <v>11</v>
      </c>
    </row>
    <row r="10" spans="1:11">
      <c r="A10" t="s">
        <v>9</v>
      </c>
      <c r="C10">
        <v>18338</v>
      </c>
      <c r="E10">
        <v>2</v>
      </c>
      <c r="F10" s="1">
        <v>0</v>
      </c>
      <c r="G10" t="s">
        <v>11</v>
      </c>
    </row>
    <row r="11" spans="1:11">
      <c r="A11" t="s">
        <v>9</v>
      </c>
      <c r="C11">
        <v>25769</v>
      </c>
      <c r="E11">
        <v>2</v>
      </c>
      <c r="F11" s="1">
        <v>0</v>
      </c>
      <c r="G11" t="s">
        <v>11</v>
      </c>
    </row>
    <row r="12" spans="1:11">
      <c r="A12" t="s">
        <v>9</v>
      </c>
      <c r="C12">
        <v>25000</v>
      </c>
      <c r="E12">
        <v>2</v>
      </c>
      <c r="F12" s="1">
        <v>0</v>
      </c>
      <c r="G12" t="s">
        <v>11</v>
      </c>
    </row>
    <row r="13" spans="1:11">
      <c r="A13" t="s">
        <v>10</v>
      </c>
      <c r="C13">
        <v>20547</v>
      </c>
      <c r="E13">
        <v>3</v>
      </c>
      <c r="F13" s="1">
        <v>0</v>
      </c>
      <c r="G13" t="s">
        <v>12</v>
      </c>
    </row>
    <row r="14" spans="1:11">
      <c r="A14" t="s">
        <v>10</v>
      </c>
      <c r="C14">
        <v>22298</v>
      </c>
      <c r="E14">
        <v>3</v>
      </c>
      <c r="F14" s="1">
        <v>0</v>
      </c>
      <c r="G14" t="s">
        <v>12</v>
      </c>
    </row>
    <row r="15" spans="1:11">
      <c r="A15" t="s">
        <v>10</v>
      </c>
      <c r="C15">
        <v>21991</v>
      </c>
      <c r="E15">
        <v>3</v>
      </c>
      <c r="F15" s="1">
        <v>0</v>
      </c>
      <c r="G15" t="s">
        <v>12</v>
      </c>
    </row>
    <row r="16" spans="1:11">
      <c r="A16" t="s">
        <v>10</v>
      </c>
      <c r="C16">
        <v>20818</v>
      </c>
      <c r="E16">
        <v>3</v>
      </c>
      <c r="F16" s="1">
        <v>0</v>
      </c>
      <c r="G16" t="s">
        <v>12</v>
      </c>
    </row>
    <row r="17" spans="1:7">
      <c r="A17" t="s">
        <v>10</v>
      </c>
      <c r="C17">
        <v>21612</v>
      </c>
      <c r="E17">
        <v>3</v>
      </c>
      <c r="F17" s="1">
        <v>0</v>
      </c>
      <c r="G17" t="s">
        <v>12</v>
      </c>
    </row>
    <row r="18" spans="1:7">
      <c r="A18" t="s">
        <v>10</v>
      </c>
      <c r="C18">
        <v>21119</v>
      </c>
      <c r="E18">
        <v>3</v>
      </c>
      <c r="F18" s="1">
        <v>0</v>
      </c>
      <c r="G18" t="s">
        <v>12</v>
      </c>
    </row>
    <row r="19" spans="1:7">
      <c r="A19" t="s">
        <v>43</v>
      </c>
      <c r="B19" t="s">
        <v>44</v>
      </c>
      <c r="C19" t="s">
        <v>45</v>
      </c>
      <c r="E19">
        <v>2</v>
      </c>
      <c r="G19" t="s">
        <v>46</v>
      </c>
    </row>
  </sheetData>
  <autoFilter ref="A1:K1" xr:uid="{6820557B-6CE2-4FD8-86A4-E2CD52A6D2FD}">
    <sortState xmlns:xlrd2="http://schemas.microsoft.com/office/spreadsheetml/2017/richdata2" ref="A2:K190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I29"/>
  <sheetViews>
    <sheetView workbookViewId="0">
      <selection activeCell="D7" sqref="D7"/>
    </sheetView>
  </sheetViews>
  <sheetFormatPr defaultColWidth="8.75" defaultRowHeight="16.5"/>
  <cols>
    <col min="1" max="1" width="22.375" customWidth="1"/>
    <col min="3" max="3" width="23.125" customWidth="1"/>
    <col min="4" max="4" width="34.375" customWidth="1"/>
    <col min="5" max="5" width="12.375" customWidth="1"/>
    <col min="6" max="6" width="9.125" customWidth="1"/>
    <col min="7" max="7" width="58.375" customWidth="1"/>
    <col min="8" max="8" width="51.125" customWidth="1"/>
    <col min="9" max="9" width="40.125" customWidth="1"/>
  </cols>
  <sheetData>
    <row r="1" spans="1:9">
      <c r="A1" t="s">
        <v>22</v>
      </c>
      <c r="B1" t="s">
        <v>7</v>
      </c>
      <c r="C1" t="s">
        <v>64</v>
      </c>
      <c r="D1" t="s">
        <v>15</v>
      </c>
      <c r="E1" t="s">
        <v>32</v>
      </c>
      <c r="F1" t="s">
        <v>34</v>
      </c>
      <c r="G1" t="s">
        <v>8</v>
      </c>
      <c r="H1" t="s">
        <v>28</v>
      </c>
    </row>
    <row r="2" spans="1:9">
      <c r="A2" t="s">
        <v>102</v>
      </c>
      <c r="B2" t="s">
        <v>16</v>
      </c>
      <c r="C2">
        <v>638.33820000000003</v>
      </c>
      <c r="D2" t="s">
        <v>103</v>
      </c>
      <c r="E2" t="s">
        <v>33</v>
      </c>
      <c r="F2" t="s">
        <v>35</v>
      </c>
    </row>
    <row r="3" spans="1:9">
      <c r="A3" t="s">
        <v>104</v>
      </c>
      <c r="B3" t="s">
        <v>105</v>
      </c>
      <c r="C3" s="1">
        <v>228.12299999999999</v>
      </c>
      <c r="D3" s="3" t="s">
        <v>123</v>
      </c>
      <c r="E3" t="s">
        <v>33</v>
      </c>
      <c r="F3" t="s">
        <v>35</v>
      </c>
      <c r="G3" t="s">
        <v>124</v>
      </c>
    </row>
    <row r="4" spans="1:9">
      <c r="A4" t="s">
        <v>106</v>
      </c>
      <c r="B4" t="s">
        <v>16</v>
      </c>
      <c r="C4">
        <v>638.33820000000003</v>
      </c>
      <c r="D4" t="s">
        <v>108</v>
      </c>
      <c r="E4" t="s">
        <v>33</v>
      </c>
      <c r="F4" t="s">
        <v>35</v>
      </c>
    </row>
    <row r="5" spans="1:9">
      <c r="A5" t="s">
        <v>107</v>
      </c>
      <c r="B5" t="s">
        <v>105</v>
      </c>
      <c r="C5" s="1">
        <v>606.31200000000001</v>
      </c>
      <c r="D5" t="s">
        <v>112</v>
      </c>
      <c r="E5" t="s">
        <v>33</v>
      </c>
      <c r="F5" t="s">
        <v>35</v>
      </c>
      <c r="G5" t="s">
        <v>109</v>
      </c>
    </row>
    <row r="6" spans="1:9">
      <c r="A6" t="s">
        <v>17</v>
      </c>
      <c r="B6" t="s">
        <v>16</v>
      </c>
      <c r="C6">
        <v>260.14920000000001</v>
      </c>
      <c r="D6" t="s">
        <v>36</v>
      </c>
      <c r="E6" t="s">
        <v>33</v>
      </c>
      <c r="F6" t="s">
        <v>35</v>
      </c>
    </row>
    <row r="7" spans="1:9">
      <c r="A7" t="s">
        <v>101</v>
      </c>
      <c r="B7" t="s">
        <v>97</v>
      </c>
      <c r="C7">
        <v>505.2756</v>
      </c>
      <c r="D7" t="s">
        <v>138</v>
      </c>
      <c r="E7" t="s">
        <v>33</v>
      </c>
      <c r="F7" t="s">
        <v>35</v>
      </c>
    </row>
    <row r="8" spans="1:9">
      <c r="A8" t="s">
        <v>98</v>
      </c>
      <c r="B8" t="s">
        <v>97</v>
      </c>
      <c r="C8">
        <v>464.24900000000002</v>
      </c>
      <c r="D8" t="s">
        <v>99</v>
      </c>
      <c r="E8" t="s">
        <v>33</v>
      </c>
      <c r="F8" t="s">
        <v>35</v>
      </c>
    </row>
    <row r="9" spans="1:9">
      <c r="A9" t="s">
        <v>129</v>
      </c>
      <c r="B9" t="s">
        <v>126</v>
      </c>
      <c r="C9" s="1">
        <v>464.24900000000002</v>
      </c>
      <c r="D9" t="s">
        <v>130</v>
      </c>
      <c r="E9" t="s">
        <v>33</v>
      </c>
      <c r="F9" t="s">
        <v>35</v>
      </c>
    </row>
    <row r="10" spans="1:9">
      <c r="A10" t="s">
        <v>128</v>
      </c>
      <c r="B10" t="s">
        <v>126</v>
      </c>
      <c r="C10">
        <v>464.24900000000002</v>
      </c>
      <c r="D10" t="s">
        <v>127</v>
      </c>
      <c r="E10" t="s">
        <v>33</v>
      </c>
      <c r="F10" t="s">
        <v>35</v>
      </c>
    </row>
    <row r="11" spans="1:9">
      <c r="A11" t="s">
        <v>52</v>
      </c>
      <c r="B11" t="s">
        <v>16</v>
      </c>
      <c r="C11">
        <v>638.33820000000003</v>
      </c>
      <c r="D11" t="s">
        <v>53</v>
      </c>
      <c r="E11" t="s">
        <v>33</v>
      </c>
      <c r="F11" t="s">
        <v>35</v>
      </c>
    </row>
    <row r="12" spans="1:9">
      <c r="A12" t="s">
        <v>52</v>
      </c>
      <c r="B12" t="s">
        <v>21</v>
      </c>
      <c r="C12">
        <v>656.34879999999998</v>
      </c>
      <c r="D12" t="s">
        <v>53</v>
      </c>
      <c r="E12" t="s">
        <v>33</v>
      </c>
      <c r="F12" t="s">
        <v>35</v>
      </c>
    </row>
    <row r="13" spans="1:9">
      <c r="A13" t="s">
        <v>116</v>
      </c>
      <c r="B13" t="s">
        <v>105</v>
      </c>
      <c r="C13" s="1">
        <v>402.21230000000003</v>
      </c>
      <c r="D13" s="3" t="s">
        <v>113</v>
      </c>
      <c r="E13" t="s">
        <v>33</v>
      </c>
      <c r="F13" t="s">
        <v>35</v>
      </c>
      <c r="G13" t="s">
        <v>117</v>
      </c>
    </row>
    <row r="14" spans="1:9">
      <c r="A14" t="s">
        <v>54</v>
      </c>
      <c r="B14" t="s">
        <v>48</v>
      </c>
      <c r="C14">
        <v>812.42740000000003</v>
      </c>
      <c r="D14" t="s">
        <v>62</v>
      </c>
      <c r="E14" t="s">
        <v>33</v>
      </c>
      <c r="F14" t="s">
        <v>35</v>
      </c>
      <c r="H14" s="2" t="s">
        <v>110</v>
      </c>
    </row>
    <row r="15" spans="1:9">
      <c r="A15" t="s">
        <v>114</v>
      </c>
      <c r="B15" t="s">
        <v>105</v>
      </c>
      <c r="C15" s="1">
        <v>402.21230000000003</v>
      </c>
      <c r="D15" t="s">
        <v>113</v>
      </c>
      <c r="E15" t="s">
        <v>33</v>
      </c>
      <c r="F15" t="s">
        <v>35</v>
      </c>
      <c r="G15" t="s">
        <v>111</v>
      </c>
    </row>
    <row r="16" spans="1:9">
      <c r="A16" t="s">
        <v>20</v>
      </c>
      <c r="B16" t="s">
        <v>16</v>
      </c>
      <c r="C16">
        <v>638.33820000000003</v>
      </c>
      <c r="D16" t="s">
        <v>31</v>
      </c>
      <c r="E16" t="s">
        <v>33</v>
      </c>
      <c r="F16" t="s">
        <v>35</v>
      </c>
      <c r="G16" t="s">
        <v>26</v>
      </c>
      <c r="H16" t="s">
        <v>27</v>
      </c>
      <c r="I16" s="2" t="s">
        <v>29</v>
      </c>
    </row>
    <row r="17" spans="1:8">
      <c r="A17" t="s">
        <v>20</v>
      </c>
      <c r="B17" t="s">
        <v>21</v>
      </c>
      <c r="C17">
        <v>656.34879999999998</v>
      </c>
      <c r="D17" t="s">
        <v>31</v>
      </c>
      <c r="E17" t="s">
        <v>33</v>
      </c>
      <c r="F17" t="s">
        <v>35</v>
      </c>
    </row>
    <row r="18" spans="1:8">
      <c r="A18" t="s">
        <v>115</v>
      </c>
      <c r="B18" t="s">
        <v>105</v>
      </c>
      <c r="C18" s="1">
        <v>432.22280000000001</v>
      </c>
      <c r="D18" t="s">
        <v>31</v>
      </c>
      <c r="E18" t="s">
        <v>33</v>
      </c>
      <c r="F18" t="s">
        <v>35</v>
      </c>
    </row>
    <row r="19" spans="1:8">
      <c r="A19" t="s">
        <v>55</v>
      </c>
      <c r="B19" t="s">
        <v>48</v>
      </c>
      <c r="C19">
        <v>812.42740000000003</v>
      </c>
      <c r="D19" t="s">
        <v>56</v>
      </c>
      <c r="E19" t="s">
        <v>33</v>
      </c>
      <c r="F19" t="s">
        <v>35</v>
      </c>
    </row>
    <row r="20" spans="1:8">
      <c r="A20" t="s">
        <v>118</v>
      </c>
      <c r="B20" t="s">
        <v>119</v>
      </c>
      <c r="C20" s="1">
        <v>606.31200000000001</v>
      </c>
      <c r="D20" t="s">
        <v>120</v>
      </c>
      <c r="E20" t="s">
        <v>33</v>
      </c>
      <c r="F20" t="s">
        <v>35</v>
      </c>
    </row>
    <row r="21" spans="1:8">
      <c r="A21" t="s">
        <v>18</v>
      </c>
      <c r="B21" t="s">
        <v>16</v>
      </c>
      <c r="C21">
        <v>344.17039999999997</v>
      </c>
      <c r="D21" t="s">
        <v>50</v>
      </c>
      <c r="E21" t="s">
        <v>33</v>
      </c>
      <c r="F21" t="s">
        <v>35</v>
      </c>
    </row>
    <row r="22" spans="1:8">
      <c r="A22" t="s">
        <v>18</v>
      </c>
      <c r="B22" t="s">
        <v>16</v>
      </c>
      <c r="C22">
        <v>376.19659999999999</v>
      </c>
      <c r="D22" t="s">
        <v>37</v>
      </c>
      <c r="E22" t="s">
        <v>33</v>
      </c>
      <c r="F22" t="s">
        <v>35</v>
      </c>
    </row>
    <row r="23" spans="1:8">
      <c r="A23" t="s">
        <v>19</v>
      </c>
      <c r="B23" t="s">
        <v>16</v>
      </c>
      <c r="C23">
        <v>374.18099999999998</v>
      </c>
      <c r="D23" t="s">
        <v>51</v>
      </c>
      <c r="E23" t="s">
        <v>33</v>
      </c>
      <c r="F23" t="s">
        <v>35</v>
      </c>
    </row>
    <row r="24" spans="1:8">
      <c r="A24" t="s">
        <v>19</v>
      </c>
      <c r="B24" t="s">
        <v>16</v>
      </c>
      <c r="C24">
        <v>406.2072</v>
      </c>
      <c r="D24" t="s">
        <v>38</v>
      </c>
      <c r="E24" t="s">
        <v>33</v>
      </c>
      <c r="F24" t="s">
        <v>35</v>
      </c>
    </row>
    <row r="25" spans="1:8">
      <c r="A25" t="s">
        <v>131</v>
      </c>
      <c r="B25" t="s">
        <v>23</v>
      </c>
      <c r="C25">
        <v>580.29639999999995</v>
      </c>
      <c r="D25" t="s">
        <v>40</v>
      </c>
      <c r="E25" t="s">
        <v>33</v>
      </c>
      <c r="F25" t="s">
        <v>35</v>
      </c>
    </row>
    <row r="26" spans="1:8">
      <c r="A26" t="s">
        <v>132</v>
      </c>
      <c r="B26" t="s">
        <v>41</v>
      </c>
      <c r="C26">
        <v>566.28070000000002</v>
      </c>
      <c r="D26" t="s">
        <v>39</v>
      </c>
      <c r="E26" t="s">
        <v>33</v>
      </c>
      <c r="F26" t="s">
        <v>35</v>
      </c>
      <c r="G26" t="s">
        <v>100</v>
      </c>
    </row>
    <row r="27" spans="1:8">
      <c r="A27" t="s">
        <v>47</v>
      </c>
      <c r="B27" t="s">
        <v>48</v>
      </c>
      <c r="C27">
        <v>825.42269999999996</v>
      </c>
      <c r="D27" t="s">
        <v>49</v>
      </c>
      <c r="E27" t="s">
        <v>33</v>
      </c>
      <c r="F27" t="s">
        <v>35</v>
      </c>
    </row>
    <row r="28" spans="1:8">
      <c r="A28" t="s">
        <v>42</v>
      </c>
      <c r="B28" t="s">
        <v>23</v>
      </c>
      <c r="C28">
        <v>999.51189999999997</v>
      </c>
      <c r="D28" t="s">
        <v>187</v>
      </c>
      <c r="E28" t="s">
        <v>33</v>
      </c>
      <c r="F28" t="s">
        <v>35</v>
      </c>
      <c r="H28" t="s">
        <v>30</v>
      </c>
    </row>
    <row r="29" spans="1:8">
      <c r="A29" t="s">
        <v>121</v>
      </c>
      <c r="B29" t="s">
        <v>119</v>
      </c>
      <c r="C29">
        <v>793.6</v>
      </c>
      <c r="D29" t="s">
        <v>122</v>
      </c>
      <c r="E29" t="s">
        <v>33</v>
      </c>
      <c r="F29" t="s">
        <v>35</v>
      </c>
    </row>
  </sheetData>
  <autoFilter ref="A1:K1" xr:uid="{D125B437-E159-4E97-8559-08AC52B2F723}">
    <sortState xmlns:xlrd2="http://schemas.microsoft.com/office/spreadsheetml/2017/richdata2" ref="A2:I29">
      <sortCondition ref="A1"/>
    </sortState>
  </autoFilter>
  <phoneticPr fontId="1" type="noConversion"/>
  <conditionalFormatting sqref="C28:C2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BE24-5C3E-4DE8-8A19-1E2068143774}">
  <dimension ref="A1:M13"/>
  <sheetViews>
    <sheetView workbookViewId="0">
      <selection activeCell="C19" sqref="C19"/>
    </sheetView>
  </sheetViews>
  <sheetFormatPr defaultRowHeight="16.5"/>
  <cols>
    <col min="1" max="1" width="21.375" customWidth="1"/>
    <col min="2" max="2" width="20.625" customWidth="1"/>
    <col min="3" max="3" width="19.75" customWidth="1"/>
    <col min="4" max="4" width="26" customWidth="1"/>
    <col min="5" max="6" width="26.5" customWidth="1"/>
    <col min="11" max="11" width="17.125" customWidth="1"/>
    <col min="12" max="12" width="20.25" customWidth="1"/>
    <col min="13" max="13" width="33.375" customWidth="1"/>
  </cols>
  <sheetData>
    <row r="1" spans="1:13" ht="33">
      <c r="A1" s="4" t="s">
        <v>200</v>
      </c>
      <c r="B1" s="4" t="s">
        <v>66</v>
      </c>
      <c r="C1" s="4" t="s">
        <v>67</v>
      </c>
      <c r="D1" s="4" t="s">
        <v>68</v>
      </c>
      <c r="E1" s="4" t="s">
        <v>137</v>
      </c>
      <c r="F1" s="4" t="s">
        <v>163</v>
      </c>
      <c r="G1" s="4" t="s">
        <v>69</v>
      </c>
      <c r="H1" s="4" t="s">
        <v>70</v>
      </c>
      <c r="I1" s="6" t="s">
        <v>71</v>
      </c>
      <c r="J1" s="6" t="s">
        <v>72</v>
      </c>
      <c r="K1" s="4" t="s">
        <v>73</v>
      </c>
      <c r="L1" s="4" t="s">
        <v>74</v>
      </c>
      <c r="M1" s="4" t="s">
        <v>75</v>
      </c>
    </row>
    <row r="2" spans="1:13">
      <c r="A2" s="7" t="s">
        <v>47</v>
      </c>
      <c r="B2" s="7" t="s">
        <v>77</v>
      </c>
      <c r="C2" s="7"/>
      <c r="D2" s="7" t="s">
        <v>78</v>
      </c>
      <c r="E2" s="7" t="s">
        <v>79</v>
      </c>
      <c r="F2" s="7" t="s">
        <v>47</v>
      </c>
      <c r="G2" s="7" t="s">
        <v>80</v>
      </c>
      <c r="H2" s="7" t="s">
        <v>81</v>
      </c>
      <c r="I2" s="5">
        <v>1</v>
      </c>
      <c r="J2" s="5">
        <v>1</v>
      </c>
      <c r="K2" s="7" t="s">
        <v>82</v>
      </c>
      <c r="L2" s="7" t="s">
        <v>82</v>
      </c>
      <c r="M2" s="7" t="s">
        <v>83</v>
      </c>
    </row>
    <row r="3" spans="1:13">
      <c r="A3" s="7" t="s">
        <v>20</v>
      </c>
      <c r="B3" s="7" t="s">
        <v>77</v>
      </c>
      <c r="C3" s="7"/>
      <c r="D3" s="7" t="s">
        <v>84</v>
      </c>
      <c r="E3" s="7" t="s">
        <v>85</v>
      </c>
      <c r="F3" s="7" t="s">
        <v>20</v>
      </c>
      <c r="G3" s="7" t="s">
        <v>80</v>
      </c>
      <c r="H3" s="7" t="s">
        <v>81</v>
      </c>
      <c r="I3" s="5">
        <v>1</v>
      </c>
      <c r="J3" s="5">
        <v>1</v>
      </c>
      <c r="K3" s="7" t="s">
        <v>82</v>
      </c>
      <c r="L3" s="7" t="s">
        <v>82</v>
      </c>
      <c r="M3" s="7" t="s">
        <v>86</v>
      </c>
    </row>
    <row r="4" spans="1:13">
      <c r="A4" s="7" t="s">
        <v>87</v>
      </c>
      <c r="B4" s="7" t="s">
        <v>77</v>
      </c>
      <c r="C4" s="7"/>
      <c r="D4" s="7" t="s">
        <v>84</v>
      </c>
      <c r="E4" s="7" t="s">
        <v>88</v>
      </c>
      <c r="F4" s="7" t="s">
        <v>87</v>
      </c>
      <c r="G4" s="7" t="s">
        <v>80</v>
      </c>
      <c r="H4" s="7" t="s">
        <v>81</v>
      </c>
      <c r="I4" s="5">
        <v>1</v>
      </c>
      <c r="J4" s="5">
        <v>1</v>
      </c>
      <c r="K4" s="7" t="s">
        <v>82</v>
      </c>
      <c r="L4" s="7" t="s">
        <v>82</v>
      </c>
      <c r="M4" s="7" t="s">
        <v>89</v>
      </c>
    </row>
    <row r="5" spans="1:13">
      <c r="A5" s="7" t="s">
        <v>20</v>
      </c>
      <c r="B5" s="7" t="s">
        <v>77</v>
      </c>
      <c r="C5" s="7"/>
      <c r="D5" s="7" t="s">
        <v>84</v>
      </c>
      <c r="E5" s="7" t="s">
        <v>88</v>
      </c>
      <c r="F5" s="7" t="s">
        <v>87</v>
      </c>
      <c r="G5" s="7" t="s">
        <v>90</v>
      </c>
      <c r="H5" s="7" t="s">
        <v>81</v>
      </c>
      <c r="I5" s="5">
        <v>1</v>
      </c>
      <c r="J5" s="5">
        <v>1</v>
      </c>
      <c r="K5" s="7" t="s">
        <v>82</v>
      </c>
      <c r="L5" s="7" t="s">
        <v>82</v>
      </c>
      <c r="M5" s="7" t="s">
        <v>91</v>
      </c>
    </row>
    <row r="6" spans="1:13">
      <c r="A6" s="7" t="s">
        <v>87</v>
      </c>
      <c r="B6" s="7" t="s">
        <v>77</v>
      </c>
      <c r="C6" s="7"/>
      <c r="D6" s="7" t="s">
        <v>84</v>
      </c>
      <c r="E6" s="7" t="s">
        <v>85</v>
      </c>
      <c r="F6" s="7" t="s">
        <v>20</v>
      </c>
      <c r="G6" s="7" t="s">
        <v>90</v>
      </c>
      <c r="H6" s="7" t="s">
        <v>81</v>
      </c>
      <c r="I6" s="5">
        <v>1</v>
      </c>
      <c r="J6" s="5">
        <v>1</v>
      </c>
      <c r="K6" s="7" t="s">
        <v>82</v>
      </c>
      <c r="L6" s="7" t="s">
        <v>82</v>
      </c>
      <c r="M6" s="7" t="s">
        <v>92</v>
      </c>
    </row>
    <row r="7" spans="1:13" ht="33">
      <c r="A7" s="7" t="s">
        <v>93</v>
      </c>
      <c r="B7" s="7" t="s">
        <v>77</v>
      </c>
      <c r="C7" s="7" t="s">
        <v>76</v>
      </c>
      <c r="D7" s="7" t="s">
        <v>84</v>
      </c>
      <c r="E7" s="7" t="s">
        <v>94</v>
      </c>
      <c r="F7" s="7"/>
      <c r="G7" s="7" t="s">
        <v>80</v>
      </c>
      <c r="H7" s="7" t="s">
        <v>81</v>
      </c>
      <c r="I7" s="5">
        <v>1</v>
      </c>
      <c r="J7" s="5">
        <v>1.2</v>
      </c>
      <c r="K7" s="7" t="s">
        <v>82</v>
      </c>
      <c r="L7" s="7" t="s">
        <v>82</v>
      </c>
      <c r="M7" s="7" t="s">
        <v>95</v>
      </c>
    </row>
    <row r="8" spans="1:13" ht="33">
      <c r="A8" s="7" t="s">
        <v>93</v>
      </c>
      <c r="B8" s="7" t="s">
        <v>77</v>
      </c>
      <c r="C8" s="7"/>
      <c r="D8" s="7" t="s">
        <v>84</v>
      </c>
      <c r="E8" s="7" t="s">
        <v>85</v>
      </c>
      <c r="F8" s="7"/>
      <c r="G8" s="7" t="s">
        <v>80</v>
      </c>
      <c r="H8" s="7" t="s">
        <v>81</v>
      </c>
      <c r="I8" s="5">
        <v>1</v>
      </c>
      <c r="J8" s="5">
        <v>0.6</v>
      </c>
      <c r="K8" s="7" t="s">
        <v>82</v>
      </c>
      <c r="L8" s="7" t="s">
        <v>82</v>
      </c>
      <c r="M8" s="7" t="s">
        <v>96</v>
      </c>
    </row>
    <row r="9" spans="1:13">
      <c r="A9" s="7" t="s">
        <v>18</v>
      </c>
      <c r="B9" s="7" t="s">
        <v>133</v>
      </c>
      <c r="D9" s="7" t="s">
        <v>134</v>
      </c>
      <c r="E9" s="7" t="s">
        <v>18</v>
      </c>
      <c r="F9" s="7"/>
      <c r="G9" s="7" t="s">
        <v>80</v>
      </c>
      <c r="H9" s="7" t="s">
        <v>81</v>
      </c>
      <c r="I9" s="5">
        <v>1</v>
      </c>
      <c r="K9" s="7" t="s">
        <v>82</v>
      </c>
      <c r="L9" s="7" t="s">
        <v>82</v>
      </c>
      <c r="M9" s="7" t="s">
        <v>135</v>
      </c>
    </row>
    <row r="10" spans="1:13">
      <c r="A10" s="7" t="s">
        <v>19</v>
      </c>
      <c r="B10" s="7" t="s">
        <v>133</v>
      </c>
      <c r="D10" s="7" t="s">
        <v>134</v>
      </c>
      <c r="E10" s="7" t="s">
        <v>19</v>
      </c>
      <c r="F10" s="7"/>
      <c r="G10" s="7" t="s">
        <v>80</v>
      </c>
      <c r="H10" s="7" t="s">
        <v>81</v>
      </c>
      <c r="I10" s="5">
        <v>1</v>
      </c>
      <c r="K10" s="7" t="s">
        <v>82</v>
      </c>
      <c r="L10" s="7" t="s">
        <v>82</v>
      </c>
      <c r="M10" s="7" t="s">
        <v>136</v>
      </c>
    </row>
    <row r="11" spans="1:13">
      <c r="A11" s="7" t="s">
        <v>171</v>
      </c>
      <c r="B11" s="7" t="s">
        <v>133</v>
      </c>
      <c r="D11" s="7" t="s">
        <v>201</v>
      </c>
      <c r="E11" s="7" t="s">
        <v>63</v>
      </c>
      <c r="G11" s="7" t="s">
        <v>80</v>
      </c>
      <c r="H11" s="7" t="s">
        <v>81</v>
      </c>
      <c r="I11" s="5">
        <v>1</v>
      </c>
      <c r="K11" s="7" t="s">
        <v>82</v>
      </c>
      <c r="L11" s="7" t="s">
        <v>82</v>
      </c>
    </row>
    <row r="12" spans="1:13" ht="49.5">
      <c r="A12" s="7" t="s">
        <v>171</v>
      </c>
      <c r="B12" s="7" t="s">
        <v>133</v>
      </c>
      <c r="D12" s="7" t="s">
        <v>202</v>
      </c>
      <c r="E12" s="7" t="s">
        <v>63</v>
      </c>
      <c r="G12" s="7" t="s">
        <v>80</v>
      </c>
      <c r="H12" s="7" t="s">
        <v>81</v>
      </c>
      <c r="I12" s="5">
        <v>1</v>
      </c>
      <c r="K12" s="7" t="s">
        <v>82</v>
      </c>
      <c r="L12" s="7" t="s">
        <v>82</v>
      </c>
      <c r="M12" s="7" t="s">
        <v>203</v>
      </c>
    </row>
    <row r="13" spans="1:13">
      <c r="A13" s="7" t="s">
        <v>101</v>
      </c>
      <c r="B13" s="7" t="s">
        <v>162</v>
      </c>
      <c r="D13" s="7" t="s">
        <v>202</v>
      </c>
      <c r="E13" s="7" t="s">
        <v>138</v>
      </c>
      <c r="G13" s="7" t="s">
        <v>80</v>
      </c>
      <c r="H13" s="7" t="s">
        <v>81</v>
      </c>
      <c r="I13" s="5">
        <v>1</v>
      </c>
      <c r="K13" s="7" t="s">
        <v>82</v>
      </c>
      <c r="L13" s="7" t="s">
        <v>82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704D-1C77-4D59-8D26-9661CE1C946E}">
  <dimension ref="A1:F6"/>
  <sheetViews>
    <sheetView workbookViewId="0">
      <selection activeCell="F7" sqref="F7"/>
    </sheetView>
  </sheetViews>
  <sheetFormatPr defaultRowHeight="16.5"/>
  <cols>
    <col min="1" max="1" width="37.375" customWidth="1"/>
    <col min="2" max="2" width="21.625" customWidth="1"/>
    <col min="3" max="3" width="13.375" customWidth="1"/>
    <col min="4" max="4" width="17.25" customWidth="1"/>
    <col min="5" max="5" width="15.125" customWidth="1"/>
    <col min="6" max="6" width="18.375" customWidth="1"/>
  </cols>
  <sheetData>
    <row r="1" spans="1:6" ht="49.5">
      <c r="A1" s="4" t="s">
        <v>213</v>
      </c>
      <c r="B1" s="4" t="s">
        <v>214</v>
      </c>
      <c r="C1" s="6" t="s">
        <v>215</v>
      </c>
      <c r="D1" s="4" t="s">
        <v>216</v>
      </c>
      <c r="E1" s="6" t="s">
        <v>207</v>
      </c>
      <c r="F1" s="4" t="s">
        <v>75</v>
      </c>
    </row>
    <row r="2" spans="1:6" ht="82.5">
      <c r="A2" s="7" t="s">
        <v>217</v>
      </c>
      <c r="B2" s="7" t="s">
        <v>218</v>
      </c>
      <c r="C2" s="5">
        <v>0</v>
      </c>
      <c r="D2" s="7" t="s">
        <v>76</v>
      </c>
      <c r="E2" s="5">
        <v>0.2</v>
      </c>
      <c r="F2" s="7" t="s">
        <v>219</v>
      </c>
    </row>
    <row r="3" spans="1:6" ht="33">
      <c r="A3" s="7" t="s">
        <v>217</v>
      </c>
      <c r="B3" s="7" t="s">
        <v>218</v>
      </c>
      <c r="C3" s="5">
        <v>0</v>
      </c>
      <c r="D3" s="7" t="s">
        <v>93</v>
      </c>
      <c r="E3" s="5">
        <v>0.2</v>
      </c>
      <c r="F3" s="7" t="s">
        <v>220</v>
      </c>
    </row>
    <row r="4" spans="1:6" ht="99">
      <c r="A4" s="7" t="s">
        <v>217</v>
      </c>
      <c r="B4" s="7" t="s">
        <v>218</v>
      </c>
      <c r="C4" s="5">
        <v>0</v>
      </c>
      <c r="D4" s="7" t="s">
        <v>221</v>
      </c>
      <c r="E4" s="5">
        <v>0.25</v>
      </c>
      <c r="F4" s="7" t="s">
        <v>222</v>
      </c>
    </row>
    <row r="5" spans="1:6" ht="33">
      <c r="A5" s="7" t="s">
        <v>217</v>
      </c>
      <c r="B5" s="7" t="s">
        <v>218</v>
      </c>
      <c r="C5" s="5">
        <v>0</v>
      </c>
      <c r="D5" s="7" t="s">
        <v>223</v>
      </c>
      <c r="E5" s="5">
        <v>0.25</v>
      </c>
      <c r="F5" s="7" t="s">
        <v>224</v>
      </c>
    </row>
    <row r="6" spans="1:6" ht="33">
      <c r="A6" s="7" t="s">
        <v>225</v>
      </c>
      <c r="B6" s="7" t="s">
        <v>226</v>
      </c>
      <c r="C6" t="s">
        <v>227</v>
      </c>
      <c r="D6" t="s">
        <v>76</v>
      </c>
      <c r="E6" s="5">
        <v>0.05</v>
      </c>
      <c r="F6" s="7" t="s">
        <v>228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D4FB-A849-439C-802C-83D42FDCE3EA}">
  <dimension ref="A1:C15"/>
  <sheetViews>
    <sheetView tabSelected="1" workbookViewId="0">
      <selection activeCell="G10" sqref="G10"/>
    </sheetView>
  </sheetViews>
  <sheetFormatPr defaultRowHeight="16.5"/>
  <cols>
    <col min="1" max="1" width="18.125" customWidth="1"/>
    <col min="2" max="2" width="27" customWidth="1"/>
  </cols>
  <sheetData>
    <row r="1" spans="1:3">
      <c r="A1" t="s">
        <v>139</v>
      </c>
      <c r="B1" t="s">
        <v>140</v>
      </c>
      <c r="C1" t="s">
        <v>75</v>
      </c>
    </row>
    <row r="2" spans="1:3">
      <c r="A2" t="s">
        <v>98</v>
      </c>
      <c r="B2" t="s">
        <v>141</v>
      </c>
      <c r="C2" t="s">
        <v>143</v>
      </c>
    </row>
    <row r="3" spans="1:3">
      <c r="A3" t="s">
        <v>125</v>
      </c>
      <c r="B3" t="s">
        <v>142</v>
      </c>
      <c r="C3" t="s">
        <v>144</v>
      </c>
    </row>
    <row r="4" spans="1:3">
      <c r="A4" t="s">
        <v>141</v>
      </c>
      <c r="B4" t="s">
        <v>145</v>
      </c>
      <c r="C4" t="s">
        <v>148</v>
      </c>
    </row>
    <row r="5" spans="1:3">
      <c r="A5" t="s">
        <v>142</v>
      </c>
      <c r="B5" t="s">
        <v>146</v>
      </c>
      <c r="C5" t="s">
        <v>149</v>
      </c>
    </row>
    <row r="6" spans="1:3">
      <c r="A6" t="s">
        <v>141</v>
      </c>
      <c r="B6" t="s">
        <v>52</v>
      </c>
      <c r="C6" t="s">
        <v>150</v>
      </c>
    </row>
    <row r="7" spans="1:3">
      <c r="A7" t="s">
        <v>142</v>
      </c>
      <c r="B7" t="s">
        <v>147</v>
      </c>
      <c r="C7" t="s">
        <v>151</v>
      </c>
    </row>
    <row r="8" spans="1:3">
      <c r="A8" t="s">
        <v>164</v>
      </c>
      <c r="B8" t="s">
        <v>158</v>
      </c>
    </row>
    <row r="9" spans="1:3">
      <c r="A9" t="s">
        <v>164</v>
      </c>
      <c r="B9" t="s">
        <v>159</v>
      </c>
    </row>
    <row r="10" spans="1:3">
      <c r="A10" t="s">
        <v>164</v>
      </c>
      <c r="B10" t="s">
        <v>160</v>
      </c>
    </row>
    <row r="11" spans="1:3">
      <c r="A11" t="s">
        <v>164</v>
      </c>
      <c r="B11" t="s">
        <v>161</v>
      </c>
    </row>
    <row r="12" spans="1:3">
      <c r="A12" t="s">
        <v>229</v>
      </c>
      <c r="B12" t="s">
        <v>47</v>
      </c>
    </row>
    <row r="13" spans="1:3">
      <c r="A13" t="s">
        <v>229</v>
      </c>
      <c r="B13" t="s">
        <v>42</v>
      </c>
    </row>
    <row r="14" spans="1:3">
      <c r="A14" t="s">
        <v>229</v>
      </c>
      <c r="B14" t="s">
        <v>230</v>
      </c>
    </row>
    <row r="15" spans="1:3">
      <c r="A15" t="s">
        <v>229</v>
      </c>
      <c r="B15" t="s">
        <v>231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6A72-925A-4A4A-A09A-2633AF6FFB39}">
  <dimension ref="A1:O11"/>
  <sheetViews>
    <sheetView workbookViewId="0">
      <selection activeCell="B11" sqref="B11"/>
    </sheetView>
  </sheetViews>
  <sheetFormatPr defaultRowHeight="16.5"/>
  <cols>
    <col min="1" max="1" width="36.25" customWidth="1"/>
    <col min="2" max="2" width="16.875" customWidth="1"/>
    <col min="3" max="3" width="36.25" customWidth="1"/>
    <col min="4" max="4" width="13.375" customWidth="1"/>
    <col min="5" max="5" width="30.375" customWidth="1"/>
    <col min="6" max="6" width="11.375" customWidth="1"/>
    <col min="7" max="7" width="8.875" customWidth="1"/>
    <col min="8" max="8" width="18.875" customWidth="1"/>
    <col min="10" max="10" width="12.375" customWidth="1"/>
    <col min="11" max="11" width="17.75" customWidth="1"/>
    <col min="13" max="13" width="12.875" customWidth="1"/>
    <col min="14" max="14" width="29.5" customWidth="1"/>
  </cols>
  <sheetData>
    <row r="1" spans="1:15">
      <c r="B1" t="s">
        <v>193</v>
      </c>
      <c r="C1" t="s">
        <v>172</v>
      </c>
      <c r="D1" t="s">
        <v>173</v>
      </c>
      <c r="E1" t="s">
        <v>174</v>
      </c>
      <c r="F1" t="s">
        <v>177</v>
      </c>
      <c r="G1" t="s">
        <v>173</v>
      </c>
      <c r="H1" t="s">
        <v>175</v>
      </c>
      <c r="I1" t="s">
        <v>177</v>
      </c>
      <c r="J1" t="s">
        <v>173</v>
      </c>
      <c r="K1" t="s">
        <v>176</v>
      </c>
      <c r="L1" t="s">
        <v>177</v>
      </c>
      <c r="M1" t="s">
        <v>173</v>
      </c>
      <c r="N1" t="s">
        <v>178</v>
      </c>
      <c r="O1" t="s">
        <v>0</v>
      </c>
    </row>
    <row r="2" spans="1:15">
      <c r="A2" t="s">
        <v>181</v>
      </c>
    </row>
    <row r="3" spans="1:15">
      <c r="C3" t="s">
        <v>17</v>
      </c>
      <c r="D3">
        <v>260</v>
      </c>
      <c r="E3" t="s">
        <v>101</v>
      </c>
      <c r="F3" t="s">
        <v>179</v>
      </c>
      <c r="G3">
        <v>505</v>
      </c>
      <c r="N3" t="s">
        <v>180</v>
      </c>
    </row>
    <row r="4" spans="1:15">
      <c r="B4" t="s">
        <v>194</v>
      </c>
      <c r="C4" t="s">
        <v>17</v>
      </c>
      <c r="D4">
        <v>260</v>
      </c>
      <c r="E4" t="s">
        <v>101</v>
      </c>
      <c r="F4" t="s">
        <v>33</v>
      </c>
      <c r="G4">
        <v>505</v>
      </c>
      <c r="N4" t="s">
        <v>101</v>
      </c>
    </row>
    <row r="5" spans="1:15">
      <c r="A5" t="s">
        <v>182</v>
      </c>
    </row>
    <row r="6" spans="1:15">
      <c r="B6" t="s">
        <v>18</v>
      </c>
      <c r="C6" t="s">
        <v>18</v>
      </c>
      <c r="D6">
        <v>376</v>
      </c>
      <c r="E6" t="s">
        <v>24</v>
      </c>
      <c r="F6" t="s">
        <v>33</v>
      </c>
      <c r="G6">
        <v>580</v>
      </c>
      <c r="H6" t="s">
        <v>183</v>
      </c>
      <c r="I6" t="s">
        <v>33</v>
      </c>
      <c r="J6">
        <v>825</v>
      </c>
      <c r="N6" t="s">
        <v>185</v>
      </c>
    </row>
    <row r="7" spans="1:15">
      <c r="B7" t="s">
        <v>19</v>
      </c>
      <c r="C7" t="s">
        <v>19</v>
      </c>
      <c r="D7">
        <v>406</v>
      </c>
      <c r="E7" t="s">
        <v>184</v>
      </c>
      <c r="F7" t="s">
        <v>33</v>
      </c>
      <c r="G7">
        <v>610</v>
      </c>
      <c r="H7" t="s">
        <v>183</v>
      </c>
      <c r="I7" t="s">
        <v>33</v>
      </c>
      <c r="J7">
        <v>855</v>
      </c>
      <c r="N7" t="s">
        <v>186</v>
      </c>
    </row>
    <row r="8" spans="1:15">
      <c r="B8" t="s">
        <v>195</v>
      </c>
      <c r="C8" t="s">
        <v>18</v>
      </c>
      <c r="D8">
        <v>376</v>
      </c>
      <c r="E8" t="s">
        <v>188</v>
      </c>
      <c r="F8" t="s">
        <v>33</v>
      </c>
      <c r="G8">
        <v>621</v>
      </c>
      <c r="H8" t="s">
        <v>24</v>
      </c>
      <c r="I8" t="s">
        <v>179</v>
      </c>
      <c r="J8">
        <v>580</v>
      </c>
      <c r="K8" t="s">
        <v>189</v>
      </c>
      <c r="L8" t="s">
        <v>33</v>
      </c>
      <c r="M8">
        <v>866</v>
      </c>
      <c r="N8" t="s">
        <v>190</v>
      </c>
      <c r="O8" t="s">
        <v>191</v>
      </c>
    </row>
    <row r="9" spans="1:15">
      <c r="A9" t="s">
        <v>192</v>
      </c>
    </row>
    <row r="10" spans="1:15">
      <c r="B10" t="s">
        <v>169</v>
      </c>
      <c r="C10" t="s">
        <v>196</v>
      </c>
      <c r="D10">
        <v>638</v>
      </c>
      <c r="E10" t="s">
        <v>197</v>
      </c>
      <c r="F10" t="s">
        <v>33</v>
      </c>
      <c r="G10">
        <v>402</v>
      </c>
      <c r="H10" t="s">
        <v>115</v>
      </c>
      <c r="I10" t="s">
        <v>179</v>
      </c>
      <c r="J10">
        <v>432</v>
      </c>
      <c r="N10" t="s">
        <v>52</v>
      </c>
    </row>
    <row r="11" spans="1:15">
      <c r="B11" t="s">
        <v>198</v>
      </c>
      <c r="C11" t="s">
        <v>196</v>
      </c>
      <c r="D11">
        <v>638</v>
      </c>
      <c r="E11" t="s">
        <v>199</v>
      </c>
      <c r="F11" t="s">
        <v>33</v>
      </c>
      <c r="G11">
        <v>606</v>
      </c>
      <c r="H11" t="s">
        <v>55</v>
      </c>
      <c r="I11" t="s">
        <v>179</v>
      </c>
      <c r="J11">
        <v>842</v>
      </c>
      <c r="N11" t="s">
        <v>108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E9CC-E28D-495C-A3E3-0E770DAA197D}">
  <dimension ref="A1:D5"/>
  <sheetViews>
    <sheetView workbookViewId="0">
      <selection activeCell="K19" sqref="K19"/>
    </sheetView>
  </sheetViews>
  <sheetFormatPr defaultRowHeight="16.5"/>
  <sheetData>
    <row r="1" spans="1:4" ht="82.5">
      <c r="A1" s="4" t="s">
        <v>204</v>
      </c>
      <c r="B1" s="4" t="s">
        <v>205</v>
      </c>
      <c r="C1" s="4" t="s">
        <v>206</v>
      </c>
      <c r="D1" s="6" t="s">
        <v>207</v>
      </c>
    </row>
    <row r="2" spans="1:4" ht="33">
      <c r="A2" s="7" t="s">
        <v>208</v>
      </c>
      <c r="B2" s="7" t="s">
        <v>158</v>
      </c>
      <c r="C2" s="7" t="s">
        <v>160</v>
      </c>
      <c r="D2" s="5" t="s">
        <v>209</v>
      </c>
    </row>
    <row r="3" spans="1:4" ht="33">
      <c r="A3" s="7" t="s">
        <v>210</v>
      </c>
      <c r="B3" s="7" t="s">
        <v>159</v>
      </c>
      <c r="C3" s="7" t="s">
        <v>160</v>
      </c>
      <c r="D3" s="5" t="s">
        <v>209</v>
      </c>
    </row>
    <row r="4" spans="1:4" ht="33">
      <c r="A4" s="7" t="s">
        <v>211</v>
      </c>
      <c r="B4" s="7" t="s">
        <v>160</v>
      </c>
      <c r="C4" s="7" t="s">
        <v>158</v>
      </c>
      <c r="D4" s="5" t="s">
        <v>209</v>
      </c>
    </row>
    <row r="5" spans="1:4" ht="33">
      <c r="A5" s="7" t="s">
        <v>212</v>
      </c>
      <c r="B5" s="7" t="s">
        <v>160</v>
      </c>
      <c r="C5" s="7" t="s">
        <v>159</v>
      </c>
      <c r="D5" s="5" t="s">
        <v>209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B5F3-E05E-4A4A-8E90-F419DB4B142E}">
  <dimension ref="A1:E9"/>
  <sheetViews>
    <sheetView workbookViewId="0">
      <selection activeCell="A11" sqref="A11"/>
    </sheetView>
  </sheetViews>
  <sheetFormatPr defaultRowHeight="16.5"/>
  <cols>
    <col min="1" max="1" width="23.125" customWidth="1"/>
    <col min="2" max="2" width="18.5" customWidth="1"/>
    <col min="3" max="3" width="17.625" customWidth="1"/>
    <col min="4" max="4" width="16.125" customWidth="1"/>
    <col min="5" max="5" width="21.875" customWidth="1"/>
  </cols>
  <sheetData>
    <row r="1" spans="1:5" ht="33">
      <c r="A1" s="4" t="s">
        <v>152</v>
      </c>
      <c r="B1" s="4" t="s">
        <v>65</v>
      </c>
      <c r="C1" s="4" t="s">
        <v>153</v>
      </c>
      <c r="D1" s="4" t="s">
        <v>154</v>
      </c>
      <c r="E1" s="4" t="s">
        <v>155</v>
      </c>
    </row>
    <row r="2" spans="1:5">
      <c r="A2" s="7" t="s">
        <v>166</v>
      </c>
      <c r="B2" s="7" t="s">
        <v>158</v>
      </c>
      <c r="C2" s="7" t="s">
        <v>156</v>
      </c>
      <c r="D2" s="7" t="b">
        <v>0</v>
      </c>
      <c r="E2" s="7">
        <v>1</v>
      </c>
    </row>
    <row r="3" spans="1:5">
      <c r="A3" s="7" t="s">
        <v>167</v>
      </c>
      <c r="B3" s="7" t="s">
        <v>159</v>
      </c>
      <c r="C3" s="7" t="s">
        <v>156</v>
      </c>
      <c r="D3" s="7" t="b">
        <v>0</v>
      </c>
      <c r="E3" s="7">
        <v>1</v>
      </c>
    </row>
    <row r="4" spans="1:5">
      <c r="A4" s="7" t="s">
        <v>168</v>
      </c>
      <c r="B4" s="7" t="s">
        <v>160</v>
      </c>
      <c r="C4" s="7" t="s">
        <v>156</v>
      </c>
      <c r="D4" s="7" t="b">
        <v>0</v>
      </c>
      <c r="E4" s="7">
        <v>1</v>
      </c>
    </row>
    <row r="5" spans="1:5">
      <c r="A5" s="7" t="s">
        <v>168</v>
      </c>
      <c r="B5" s="7" t="s">
        <v>161</v>
      </c>
      <c r="C5" s="7" t="s">
        <v>156</v>
      </c>
      <c r="D5" s="7" t="b">
        <v>0</v>
      </c>
      <c r="E5" s="7">
        <v>1</v>
      </c>
    </row>
    <row r="6" spans="1:5">
      <c r="A6" s="7" t="s">
        <v>169</v>
      </c>
      <c r="B6" s="7" t="s">
        <v>160</v>
      </c>
      <c r="C6" s="7" t="s">
        <v>157</v>
      </c>
      <c r="D6" s="7" t="b">
        <v>0</v>
      </c>
      <c r="E6" s="7">
        <v>1.2</v>
      </c>
    </row>
    <row r="7" spans="1:5">
      <c r="A7" s="7" t="s">
        <v>169</v>
      </c>
      <c r="B7" s="7" t="s">
        <v>161</v>
      </c>
      <c r="C7" s="7" t="s">
        <v>157</v>
      </c>
      <c r="D7" s="7" t="b">
        <v>0</v>
      </c>
      <c r="E7" s="7">
        <v>1.2</v>
      </c>
    </row>
    <row r="8" spans="1:5">
      <c r="A8" s="7" t="s">
        <v>170</v>
      </c>
      <c r="B8" s="7" t="s">
        <v>160</v>
      </c>
      <c r="C8" s="7" t="s">
        <v>165</v>
      </c>
      <c r="D8" s="7" t="b">
        <v>0</v>
      </c>
      <c r="E8" s="7">
        <v>1</v>
      </c>
    </row>
    <row r="9" spans="1:5">
      <c r="A9" s="7" t="s">
        <v>170</v>
      </c>
      <c r="B9" s="7" t="s">
        <v>161</v>
      </c>
      <c r="C9" s="7" t="s">
        <v>165</v>
      </c>
      <c r="D9" s="7" t="b">
        <v>0</v>
      </c>
      <c r="E9" s="7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D3B1-73FC-471F-BF7D-464BEF914EFC}">
  <dimension ref="D3:F5"/>
  <sheetViews>
    <sheetView workbookViewId="0">
      <selection activeCell="E25" sqref="E25"/>
    </sheetView>
  </sheetViews>
  <sheetFormatPr defaultColWidth="8.75" defaultRowHeight="16.5"/>
  <cols>
    <col min="4" max="4" width="20.375" customWidth="1"/>
    <col min="5" max="5" width="49.25" customWidth="1"/>
  </cols>
  <sheetData>
    <row r="3" spans="4:6">
      <c r="E3" t="s">
        <v>58</v>
      </c>
      <c r="F3" t="s">
        <v>59</v>
      </c>
    </row>
    <row r="4" spans="4:6">
      <c r="E4" t="s">
        <v>61</v>
      </c>
    </row>
    <row r="5" spans="4:6">
      <c r="D5" t="s">
        <v>60</v>
      </c>
      <c r="E5" t="s">
        <v>57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EF422C-B8D3-4F6C-950A-A4DFD4067B7B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82b70a8-9591-478e-a6d5-bf315b83c48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MSlist</vt:lpstr>
      <vt:lpstr>ionlist</vt:lpstr>
      <vt:lpstr>interpretation_v2</vt:lpstr>
      <vt:lpstr>CompositionConsistency</vt:lpstr>
      <vt:lpstr>TargetHierarchy</vt:lpstr>
      <vt:lpstr>rule_explanation</vt:lpstr>
      <vt:lpstr>oldCompositionCons</vt:lpstr>
      <vt:lpstr>motifpolicy2</vt:lpstr>
      <vt:lpstr>some confrimation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2026-02-25T06:45:51Z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