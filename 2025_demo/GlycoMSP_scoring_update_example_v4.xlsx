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2025_demo\"/>
    </mc:Choice>
  </mc:AlternateContent>
  <xr:revisionPtr revIDLastSave="0" documentId="13_ncr:1_{14DE441A-3083-4562-A632-D808FD1A28CA}" xr6:coauthVersionLast="47" xr6:coauthVersionMax="47" xr10:uidLastSave="{00000000-0000-0000-0000-000000000000}"/>
  <bookViews>
    <workbookView xWindow="-120" yWindow="-120" windowWidth="29040" windowHeight="15840" firstSheet="3" activeTab="6" xr2:uid="{CFD31651-57D7-40EF-BE95-C7417EC3B9A0}"/>
  </bookViews>
  <sheets>
    <sheet name="MSlist" sheetId="6" r:id="rId1"/>
    <sheet name="workflow" sheetId="24" r:id="rId2"/>
    <sheet name="ionlist" sheetId="4" r:id="rId3"/>
    <sheet name="interpretation_v2" sheetId="16" r:id="rId4"/>
    <sheet name="evidence_chain_man" sheetId="26" r:id="rId5"/>
    <sheet name="TargetHierarchy" sheetId="17" r:id="rId6"/>
    <sheet name="CompositionConsistency" sheetId="23" r:id="rId7"/>
    <sheet name="MotifPolicy" sheetId="20" r:id="rId8"/>
    <sheet name="UnexpectedEvidencePenalty" sheetId="25" r:id="rId9"/>
    <sheet name="rule_explanation" sheetId="21" r:id="rId10"/>
    <sheet name="some confrimation" sheetId="13" r:id="rId11"/>
  </sheets>
  <definedNames>
    <definedName name="_xlnm._FilterDatabase" localSheetId="3" hidden="1">interpretation_v2!$A$1:$N$1</definedName>
    <definedName name="_xlnm._FilterDatabase" localSheetId="2" hidden="1">ionlist!$A$1:$K$1</definedName>
    <definedName name="_xlnm._FilterDatabase" localSheetId="0" hidden="1">MSlist!$A$1:$K$1</definedName>
    <definedName name="_xlnm._FilterDatabase" localSheetId="5" hidden="1">TargetHierarchy!$A$1:$C$1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<sst xmlns="http://schemas.openxmlformats.org/spreadsheetml/2006/main" count="1027" uniqueCount="289">
  <si>
    <t>note</t>
    <phoneticPr fontId="1" type="noConversion"/>
  </si>
  <si>
    <t>charge</t>
    <phoneticPr fontId="1" type="noConversion"/>
  </si>
  <si>
    <t>mass shift</t>
    <phoneticPr fontId="1" type="noConversion"/>
  </si>
  <si>
    <t>adduct</t>
    <phoneticPr fontId="1" type="noConversion"/>
  </si>
  <si>
    <t>diff profile (integer for groups if different from same annotation)</t>
    <phoneticPr fontId="1" type="noConversion"/>
  </si>
  <si>
    <t>IUPACname(optional)</t>
    <phoneticPr fontId="1" type="noConversion"/>
  </si>
  <si>
    <t>Glycanannotation2</t>
    <phoneticPr fontId="1" type="noConversion"/>
  </si>
  <si>
    <t>ion type</t>
    <phoneticPr fontId="1" type="noConversion"/>
  </si>
  <si>
    <t>notes</t>
    <phoneticPr fontId="1" type="noConversion"/>
  </si>
  <si>
    <t>F1H6N4S1</t>
  </si>
  <si>
    <t>F1H6N4S2</t>
  </si>
  <si>
    <t>2H</t>
  </si>
  <si>
    <t>3H</t>
  </si>
  <si>
    <t>peak</t>
    <phoneticPr fontId="1" type="noConversion"/>
  </si>
  <si>
    <t>MS2scan_no</t>
    <phoneticPr fontId="1" type="noConversion"/>
  </si>
  <si>
    <t>Structural identifiers</t>
    <phoneticPr fontId="1" type="noConversion"/>
  </si>
  <si>
    <t>B</t>
    <phoneticPr fontId="1" type="noConversion"/>
  </si>
  <si>
    <t>HexNAc</t>
    <phoneticPr fontId="1" type="noConversion"/>
  </si>
  <si>
    <t>Neu5Ac</t>
    <phoneticPr fontId="1" type="noConversion"/>
  </si>
  <si>
    <t>Neu5Gc</t>
    <phoneticPr fontId="1" type="noConversion"/>
  </si>
  <si>
    <t>LeX</t>
  </si>
  <si>
    <t>C</t>
    <phoneticPr fontId="1" type="noConversion"/>
  </si>
  <si>
    <t>Glycotope (customizable)</t>
    <phoneticPr fontId="1" type="noConversion"/>
  </si>
  <si>
    <t>B</t>
    <phoneticPr fontId="1" type="noConversion"/>
  </si>
  <si>
    <t>Neu5Ac-Gal</t>
    <phoneticPr fontId="1" type="noConversion"/>
  </si>
  <si>
    <t>Composition</t>
    <phoneticPr fontId="1" type="noConversion"/>
  </si>
  <si>
    <t xml:space="preserve">Original output after discussion: Gal(1-4)(Fuc(1-3)-GlcNAc) OR </t>
    <phoneticPr fontId="1" type="noConversion"/>
  </si>
  <si>
    <t>IUPAC</t>
    <phoneticPr fontId="1" type="noConversion"/>
  </si>
  <si>
    <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3)]-D-GlcpNAc-R</t>
    </r>
    <phoneticPr fontId="1" type="noConversion"/>
  </si>
  <si>
    <r>
      <t>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2-3Gal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1-4[Fuc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1-3]GlcNAc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</rPr>
      <t>-</t>
    </r>
    <r>
      <rPr>
        <sz val="12"/>
        <color theme="1"/>
        <rFont val="新細明體"/>
        <family val="2"/>
        <charset val="136"/>
        <scheme val="minor"/>
      </rPr>
      <t>R</t>
    </r>
    <phoneticPr fontId="1" type="noConversion"/>
  </si>
  <si>
    <t>Gal(b1-4)[Fuc(a1-3)]GlcNAc-</t>
    <phoneticPr fontId="1" type="noConversion"/>
  </si>
  <si>
    <t>Charge mode</t>
    <phoneticPr fontId="1" type="noConversion"/>
  </si>
  <si>
    <t>+</t>
    <phoneticPr fontId="1" type="noConversion"/>
  </si>
  <si>
    <t>Derivatization</t>
    <phoneticPr fontId="1" type="noConversion"/>
  </si>
  <si>
    <t>PerMe</t>
    <phoneticPr fontId="1" type="noConversion"/>
  </si>
  <si>
    <t>GlcNAc-</t>
    <phoneticPr fontId="1" type="noConversion"/>
  </si>
  <si>
    <t>Neu5Ac-</t>
    <phoneticPr fontId="1" type="noConversion"/>
  </si>
  <si>
    <t>Neu5Gc-</t>
    <phoneticPr fontId="1" type="noConversion"/>
  </si>
  <si>
    <t>Neu5AcGal-</t>
    <phoneticPr fontId="1" type="noConversion"/>
  </si>
  <si>
    <t>BY</t>
    <phoneticPr fontId="1" type="noConversion"/>
  </si>
  <si>
    <t>sLeX</t>
    <phoneticPr fontId="1" type="noConversion"/>
  </si>
  <si>
    <t>F1H6N4S2</t>
    <phoneticPr fontId="1" type="noConversion"/>
  </si>
  <si>
    <t>Neu5Ac</t>
    <phoneticPr fontId="1" type="noConversion"/>
  </si>
  <si>
    <t>composite</t>
    <phoneticPr fontId="1" type="noConversion"/>
  </si>
  <si>
    <t>2H</t>
    <phoneticPr fontId="1" type="noConversion"/>
  </si>
  <si>
    <t>B</t>
    <phoneticPr fontId="1" type="noConversion"/>
  </si>
  <si>
    <t>Neu5Ac[dCH3OH]-</t>
    <phoneticPr fontId="1" type="noConversion"/>
  </si>
  <si>
    <t>Neu5Gc[dCH3OH]-</t>
    <phoneticPr fontId="1" type="noConversion"/>
  </si>
  <si>
    <t>LeA</t>
    <phoneticPr fontId="1" type="noConversion"/>
  </si>
  <si>
    <t>Gal(b1-3)[Fuc(a1-4)]GlcNAc-</t>
    <phoneticPr fontId="1" type="noConversion"/>
  </si>
  <si>
    <t>LeB</t>
    <phoneticPr fontId="1" type="noConversion"/>
  </si>
  <si>
    <t>LeY</t>
    <phoneticPr fontId="1" type="noConversion"/>
  </si>
  <si>
    <t>Fuc(a1-2)Gal(b1-4)[Fuc(a1-3)]GlcNAc-</t>
    <phoneticPr fontId="1" type="noConversion"/>
  </si>
  <si>
    <r>
      <t>(Gal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1-6)(Neu5Ac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2-6Gal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1-3)Man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1-6)GlcNAc-R</t>
    </r>
    <phoneticPr fontId="1" type="noConversion"/>
  </si>
  <si>
    <t>Confirming the rule: start from later arm?</t>
    <phoneticPr fontId="1" type="noConversion"/>
  </si>
  <si>
    <t>6 arm first from up to down</t>
    <phoneticPr fontId="1" type="noConversion"/>
  </si>
  <si>
    <t>IUPAC condensed</t>
    <phoneticPr fontId="1" type="noConversion"/>
  </si>
  <si>
    <t>Residue inside (out from the chain) is inserted right before the sugar</t>
    <phoneticPr fontId="1" type="noConversion"/>
  </si>
  <si>
    <t>Fuc(a1-2)Gal(b1-3)[Fuc(a1-4)]GlcNAc-</t>
    <phoneticPr fontId="1" type="noConversion"/>
  </si>
  <si>
    <t>GlcNAc</t>
    <phoneticPr fontId="1" type="noConversion"/>
  </si>
  <si>
    <t>Fragmentation mass</t>
    <phoneticPr fontId="1" type="noConversion"/>
  </si>
  <si>
    <t>target_level</t>
  </si>
  <si>
    <t>ion_role</t>
  </si>
  <si>
    <t>logic</t>
  </si>
  <si>
    <t>min_hits</t>
  </si>
  <si>
    <t>weight</t>
  </si>
  <si>
    <t>charge_mode_required</t>
  </si>
  <si>
    <t>derivatization_required</t>
  </si>
  <si>
    <t>notes</t>
  </si>
  <si>
    <t>motif</t>
  </si>
  <si>
    <t>LacNAc_family</t>
  </si>
  <si>
    <t>support</t>
  </si>
  <si>
    <t>AND</t>
  </si>
  <si>
    <t>any</t>
  </si>
  <si>
    <t>core evidence for sialylated LacNAc</t>
  </si>
  <si>
    <t>Lewis X evidence</t>
  </si>
  <si>
    <t>LeA</t>
  </si>
  <si>
    <t>Lewis A evidence</t>
  </si>
  <si>
    <t>exclude</t>
  </si>
  <si>
    <t>penalize LeA-marker when claiming LeX</t>
  </si>
  <si>
    <t>penalize LeX-marker when claiming LeA</t>
  </si>
  <si>
    <t>sLeX</t>
  </si>
  <si>
    <t>sLeX implies SialylLacNAc context</t>
  </si>
  <si>
    <t>B</t>
    <phoneticPr fontId="1" type="noConversion"/>
  </si>
  <si>
    <t>LacNAc</t>
    <phoneticPr fontId="1" type="noConversion"/>
  </si>
  <si>
    <t>Gal(b1-4)GlcNAc-</t>
    <phoneticPr fontId="1" type="noConversion"/>
  </si>
  <si>
    <t>580-14</t>
    <phoneticPr fontId="1" type="noConversion"/>
  </si>
  <si>
    <t>LacDiNAc</t>
    <phoneticPr fontId="1" type="noConversion"/>
  </si>
  <si>
    <t>BGH1</t>
    <phoneticPr fontId="1" type="noConversion"/>
  </si>
  <si>
    <t>Fuc(a1-2)Gal(b1-3)GlcNAc-</t>
    <phoneticPr fontId="1" type="noConversion"/>
  </si>
  <si>
    <t>BGH1_MS3</t>
    <phoneticPr fontId="1" type="noConversion"/>
  </si>
  <si>
    <t>Oxo</t>
    <phoneticPr fontId="1" type="noConversion"/>
  </si>
  <si>
    <t>BGH2</t>
    <phoneticPr fontId="1" type="noConversion"/>
  </si>
  <si>
    <t>BGH2_MS3</t>
    <phoneticPr fontId="1" type="noConversion"/>
  </si>
  <si>
    <t>Fuc(a1-2)Gal(b1-4)GlcNAc-</t>
    <phoneticPr fontId="1" type="noConversion"/>
  </si>
  <si>
    <t>638-MeO (C3 elimination)</t>
    <phoneticPr fontId="1" type="noConversion"/>
  </si>
  <si>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2)-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4)]-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-d-GlcpNAc-(1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</t>
    </r>
    <phoneticPr fontId="1" type="noConversion"/>
  </si>
  <si>
    <t>C3 elimination</t>
    <phoneticPr fontId="1" type="noConversion"/>
  </si>
  <si>
    <t>Fuc(a1-2)Gal(b1-4)[-dCH3OH]GlcNAc-</t>
    <phoneticPr fontId="1" type="noConversion"/>
  </si>
  <si>
    <t>[Fuc(a1-4)][-dCH3OH]GlcNAc-</t>
    <phoneticPr fontId="1" type="noConversion"/>
  </si>
  <si>
    <t>LeB_MS3</t>
    <phoneticPr fontId="1" type="noConversion"/>
  </si>
  <si>
    <t>LeX_MS3</t>
    <phoneticPr fontId="1" type="noConversion"/>
  </si>
  <si>
    <t>LeA_MS3</t>
    <phoneticPr fontId="1" type="noConversion"/>
  </si>
  <si>
    <t>LeY_MS3</t>
    <phoneticPr fontId="1" type="noConversion"/>
  </si>
  <si>
    <t>BZ</t>
    <phoneticPr fontId="1" type="noConversion"/>
  </si>
  <si>
    <t>sLeX_MS3</t>
    <phoneticPr fontId="1" type="noConversion"/>
  </si>
  <si>
    <t>Neu5Ac(a2-3)Gal(b1-4)-GlcNAc-</t>
    <phoneticPr fontId="1" type="noConversion"/>
  </si>
  <si>
    <t>-[dCH3OH]GlcNAc-</t>
    <phoneticPr fontId="1" type="noConversion"/>
  </si>
  <si>
    <t>260-MeO (C3 elimination)  -32.0419 OR 32.0262???</t>
    <phoneticPr fontId="1" type="noConversion"/>
  </si>
  <si>
    <t>B</t>
    <phoneticPr fontId="1" type="noConversion"/>
  </si>
  <si>
    <t>Gal(b1-4)GlcNAc-</t>
    <phoneticPr fontId="1" type="noConversion"/>
  </si>
  <si>
    <t>LacNAc (Type2)</t>
    <phoneticPr fontId="1" type="noConversion"/>
  </si>
  <si>
    <t>LacNAc (Type1)</t>
    <phoneticPr fontId="1" type="noConversion"/>
  </si>
  <si>
    <t>Gal(b1-3)GlcNAc-</t>
    <phoneticPr fontId="1" type="noConversion"/>
  </si>
  <si>
    <t>SialylHex</t>
    <phoneticPr fontId="1" type="noConversion"/>
  </si>
  <si>
    <t>sugar</t>
    <phoneticPr fontId="1" type="noConversion"/>
  </si>
  <si>
    <t>penalize if Neu5Ac is not allowed</t>
    <phoneticPr fontId="1" type="noConversion"/>
  </si>
  <si>
    <t>penalize if Neu5Gc is not allowed</t>
    <phoneticPr fontId="1" type="noConversion"/>
  </si>
  <si>
    <t>ion_struct_id</t>
    <phoneticPr fontId="1" type="noConversion"/>
  </si>
  <si>
    <t>GalNAc(b1-4)GlcNAc-</t>
    <phoneticPr fontId="1" type="noConversion"/>
  </si>
  <si>
    <t>parent_target_id</t>
    <phoneticPr fontId="1" type="noConversion"/>
  </si>
  <si>
    <t>Type1_chain</t>
    <phoneticPr fontId="1" type="noConversion"/>
  </si>
  <si>
    <t>Type2_chain</t>
    <phoneticPr fontId="1" type="noConversion"/>
  </si>
  <si>
    <t>Gal(b1-3)GlcNAc backbone</t>
    <phoneticPr fontId="1" type="noConversion"/>
  </si>
  <si>
    <t>Gal(b1-4)GlcNAc backbone</t>
    <phoneticPr fontId="1" type="noConversion"/>
  </si>
  <si>
    <t>H type-1 terminal (Fuc a1-2 on Gal)</t>
    <phoneticPr fontId="1" type="noConversion"/>
  </si>
  <si>
    <t>H type-2 terminal (Fuc a1-2 on Gal)</t>
    <phoneticPr fontId="1" type="noConversion"/>
  </si>
  <si>
    <t>Lewis A (Fuc a1-4 on GlcNAc)</t>
    <phoneticPr fontId="1" type="noConversion"/>
  </si>
  <si>
    <t>Lewis X (Fuc a1-3 on GlcNAc)</t>
    <phoneticPr fontId="1" type="noConversion"/>
  </si>
  <si>
    <t>flag_id</t>
  </si>
  <si>
    <t>activation_mode</t>
  </si>
  <si>
    <t>include_descendants</t>
  </si>
  <si>
    <t>enable</t>
  </si>
  <si>
    <t>motif</t>
    <phoneticPr fontId="1" type="noConversion"/>
  </si>
  <si>
    <t>AllowLewis</t>
    <phoneticPr fontId="1" type="noConversion"/>
  </si>
  <si>
    <t>PreferLewis</t>
    <phoneticPr fontId="1" type="noConversion"/>
  </si>
  <si>
    <t>Terminal GlcNAc</t>
    <phoneticPr fontId="1" type="noConversion"/>
  </si>
  <si>
    <t>in ionlist</t>
    <phoneticPr fontId="1" type="noConversion"/>
  </si>
  <si>
    <t>ion mass</t>
    <phoneticPr fontId="1" type="noConversion"/>
  </si>
  <si>
    <t>Evidence1</t>
    <phoneticPr fontId="1" type="noConversion"/>
  </si>
  <si>
    <t>Evidence2</t>
    <phoneticPr fontId="1" type="noConversion"/>
  </si>
  <si>
    <t>Evidence3</t>
    <phoneticPr fontId="1" type="noConversion"/>
  </si>
  <si>
    <t>sup/exl</t>
    <phoneticPr fontId="1" type="noConversion"/>
  </si>
  <si>
    <t>Final interpretation</t>
    <phoneticPr fontId="1" type="noConversion"/>
  </si>
  <si>
    <t>-</t>
    <phoneticPr fontId="1" type="noConversion"/>
  </si>
  <si>
    <t>GlcNAc- (possible terminal disecting NG/ terminal truncated NG)</t>
    <phoneticPr fontId="1" type="noConversion"/>
  </si>
  <si>
    <t>Case 1: Terminal HexNAc identifiacation</t>
    <phoneticPr fontId="1" type="noConversion"/>
  </si>
  <si>
    <t>Case 2: Terminal SialylLacNAc identification</t>
    <phoneticPr fontId="1" type="noConversion"/>
  </si>
  <si>
    <t>Sialyl-LacNAc (Neu5Ac)</t>
    <phoneticPr fontId="1" type="noConversion"/>
  </si>
  <si>
    <t>Neu5Gc-Gal</t>
    <phoneticPr fontId="1" type="noConversion"/>
  </si>
  <si>
    <t>Neu5Ac(a2-)Gal(b1-4)GlcNAc-</t>
    <phoneticPr fontId="1" type="noConversion"/>
  </si>
  <si>
    <t>Neu5Gc(a2-)Gal(b1-4)GlcNAc-</t>
    <phoneticPr fontId="1" type="noConversion"/>
  </si>
  <si>
    <t>Neu5Ac(a2-3)Gal(b1-4)[Fuca(1-3)]GlcNAc-</t>
    <phoneticPr fontId="1" type="noConversion"/>
  </si>
  <si>
    <t>Neu5Ac-HexNAc</t>
    <phoneticPr fontId="1" type="noConversion"/>
  </si>
  <si>
    <t>Neu5Ac-LAcDiNAc</t>
    <phoneticPr fontId="1" type="noConversion"/>
  </si>
  <si>
    <t>Neu5Ac(a2-6)GalNAc(b1-4)GlcNAc-</t>
    <phoneticPr fontId="1" type="noConversion"/>
  </si>
  <si>
    <t>only 2,6 allowed for Neu5Ac (enzyme)</t>
    <phoneticPr fontId="1" type="noConversion"/>
  </si>
  <si>
    <t>Case 3: Terminal Lewis structure</t>
    <phoneticPr fontId="1" type="noConversion"/>
  </si>
  <si>
    <t>flags</t>
    <phoneticPr fontId="1" type="noConversion"/>
  </si>
  <si>
    <t>LDNC</t>
    <phoneticPr fontId="1" type="noConversion"/>
  </si>
  <si>
    <t>Neu5Ac, LDNC</t>
    <phoneticPr fontId="1" type="noConversion"/>
  </si>
  <si>
    <t>LeA, LeX, BGH1, BGH2</t>
    <phoneticPr fontId="1" type="noConversion"/>
  </si>
  <si>
    <t>LeA_MS3</t>
  </si>
  <si>
    <t>Lewis-like</t>
    <phoneticPr fontId="1" type="noConversion"/>
  </si>
  <si>
    <t>BGH2_MS3, LeY_MS3</t>
    <phoneticPr fontId="1" type="noConversion"/>
  </si>
  <si>
    <t>target_id</t>
    <phoneticPr fontId="1" type="noConversion"/>
  </si>
  <si>
    <t>Bisect N glycan</t>
    <phoneticPr fontId="1" type="noConversion"/>
  </si>
  <si>
    <t>LDNC and LDNF can have repeats https://www.jbc.org/article/S0021-9258(19)60614-9/fulltext</t>
    <phoneticPr fontId="1" type="noConversion"/>
  </si>
  <si>
    <t>penalty</t>
  </si>
  <si>
    <t>rule_id</t>
  </si>
  <si>
    <t>composition_field</t>
  </si>
  <si>
    <t>when_value</t>
  </si>
  <si>
    <t>S0_penalize_sialyl</t>
  </si>
  <si>
    <t>S</t>
  </si>
  <si>
    <t>candidate S=0 but sialyl evidence present</t>
  </si>
  <si>
    <t>same rule family</t>
  </si>
  <si>
    <t>if you have a generic Neu5Ac diagnostic motif</t>
  </si>
  <si>
    <t>if you track G separately</t>
  </si>
  <si>
    <t>Spos_missing_sialyl</t>
    <phoneticPr fontId="1" type="noConversion"/>
  </si>
  <si>
    <t>S</t>
    <phoneticPr fontId="1" type="noConversion"/>
  </si>
  <si>
    <t>&gt;=1</t>
    <phoneticPr fontId="1" type="noConversion"/>
  </si>
  <si>
    <t>penalize absence (implement as 1-E)</t>
    <phoneticPr fontId="1" type="noConversion"/>
  </si>
  <si>
    <t>(From bottom)</t>
    <phoneticPr fontId="1" type="noConversion"/>
  </si>
  <si>
    <t>Structural identifiers</t>
  </si>
  <si>
    <t>Score B indexing flow</t>
    <phoneticPr fontId="1" type="noConversion"/>
  </si>
  <si>
    <t>Step 1: Get fragmentation mass</t>
    <phoneticPr fontId="1" type="noConversion"/>
  </si>
  <si>
    <t>Action: Find</t>
    <phoneticPr fontId="1" type="noConversion"/>
  </si>
  <si>
    <t>Action: Get</t>
    <phoneticPr fontId="1" type="noConversion"/>
  </si>
  <si>
    <t>match the peak</t>
    <phoneticPr fontId="1" type="noConversion"/>
  </si>
  <si>
    <t>Same with ion_struct_id in interpretation_v2, so the ion is linked to certain glycotope  (1 to 1)</t>
    <phoneticPr fontId="1" type="noConversion"/>
  </si>
  <si>
    <t>Step 2:</t>
    <phoneticPr fontId="1" type="noConversion"/>
  </si>
  <si>
    <t>(Top-down)</t>
    <phoneticPr fontId="1" type="noConversion"/>
  </si>
  <si>
    <t>Step 1: User set flags and composition constraints</t>
    <phoneticPr fontId="1" type="noConversion"/>
  </si>
  <si>
    <t>compositions</t>
    <phoneticPr fontId="1" type="noConversion"/>
  </si>
  <si>
    <t>rules in compositionconsistency</t>
    <phoneticPr fontId="1" type="noConversion"/>
  </si>
  <si>
    <t>suggest certain glycotope preference by user</t>
    <phoneticPr fontId="1" type="noConversion"/>
  </si>
  <si>
    <t>rules in motifpolicy</t>
    <phoneticPr fontId="1" type="noConversion"/>
  </si>
  <si>
    <t>Glycotope/rules (customizable)</t>
    <phoneticPr fontId="1" type="noConversion"/>
  </si>
  <si>
    <t>LeX (no LeA)</t>
    <phoneticPr fontId="1" type="noConversion"/>
  </si>
  <si>
    <t>LeA (no LeX)</t>
    <phoneticPr fontId="1" type="noConversion"/>
  </si>
  <si>
    <t>load composition constraints (mainly Sialic acid)</t>
    <phoneticPr fontId="1" type="noConversion"/>
  </si>
  <si>
    <t>1.3 Validate joins (fail fast)
At load time:
Every interpretation_v2.ion_struct_id must exist in ionlist.ion_struct_id
Every MotifPolicy.target_id must exist in interpretation targets OR be a parent in TargetHierarchy
Every CompositionConsistency.evidence_target_id must exist in interpretation targets (or be expandable group parent)</t>
    <phoneticPr fontId="1" type="noConversion"/>
  </si>
  <si>
    <t>evidence_target_id</t>
    <phoneticPr fontId="1" type="noConversion"/>
  </si>
  <si>
    <t>child_target_id</t>
    <phoneticPr fontId="1" type="noConversion"/>
  </si>
  <si>
    <t>target_group</t>
    <phoneticPr fontId="1" type="noConversion"/>
  </si>
  <si>
    <t>Allow5Ac</t>
    <phoneticPr fontId="1" type="noConversion"/>
  </si>
  <si>
    <t>enable</t>
    <phoneticPr fontId="1" type="noConversion"/>
  </si>
  <si>
    <t>sLeA</t>
    <phoneticPr fontId="1" type="noConversion"/>
  </si>
  <si>
    <t>sLeA</t>
    <phoneticPr fontId="1" type="noConversion"/>
  </si>
  <si>
    <t>Neu5Ac(a2-3)Gal(b1-3)[Fuc(a1-4)]GlcNAc-</t>
    <phoneticPr fontId="1" type="noConversion"/>
  </si>
  <si>
    <t>SialylAcLacNAc</t>
    <phoneticPr fontId="1" type="noConversion"/>
  </si>
  <si>
    <t>SialylGcLacNAc</t>
    <phoneticPr fontId="1" type="noConversion"/>
  </si>
  <si>
    <t>Neu5AcGal(b1-4)GlcNAc-</t>
    <phoneticPr fontId="1" type="noConversion"/>
  </si>
  <si>
    <t>Neu5GcGal(b1-4)GlcNAc-</t>
    <phoneticPr fontId="1" type="noConversion"/>
  </si>
  <si>
    <t>Fucosylated_motifs</t>
    <phoneticPr fontId="1" type="noConversion"/>
  </si>
  <si>
    <t>LeX</t>
    <phoneticPr fontId="1" type="noConversion"/>
  </si>
  <si>
    <t>LeB (no LeY)</t>
    <phoneticPr fontId="1" type="noConversion"/>
  </si>
  <si>
    <t>LeY (no LeB)</t>
    <phoneticPr fontId="1" type="noConversion"/>
  </si>
  <si>
    <t>ion_struct_target_id</t>
    <phoneticPr fontId="1" type="noConversion"/>
  </si>
  <si>
    <t>-Gal(b1-4)[Fuc(a1-3)]GlcNAc-</t>
    <phoneticPr fontId="1" type="noConversion"/>
  </si>
  <si>
    <t>LeX</t>
    <phoneticPr fontId="1" type="noConversion"/>
  </si>
  <si>
    <t>BY</t>
    <phoneticPr fontId="1" type="noConversion"/>
  </si>
  <si>
    <t>F</t>
    <phoneticPr fontId="1" type="noConversion"/>
  </si>
  <si>
    <t>F0_penalized_Lewis</t>
    <phoneticPr fontId="1" type="noConversion"/>
  </si>
  <si>
    <t>Lewis_motifs</t>
    <phoneticPr fontId="1" type="noConversion"/>
  </si>
  <si>
    <t>candidate F=0 but Lewis evidence present</t>
    <phoneticPr fontId="1" type="noConversion"/>
  </si>
  <si>
    <t>Allow5Gc</t>
    <phoneticPr fontId="1" type="noConversion"/>
  </si>
  <si>
    <t>Bloodgroup_motifs</t>
    <phoneticPr fontId="1" type="noConversion"/>
  </si>
  <si>
    <t>Forbid5Gc</t>
    <phoneticPr fontId="1" type="noConversion"/>
  </si>
  <si>
    <t>forbid</t>
    <phoneticPr fontId="1" type="noConversion"/>
  </si>
  <si>
    <t>Forbid5Ac</t>
    <phoneticPr fontId="1" type="noConversion"/>
  </si>
  <si>
    <t>sGcLeX</t>
    <phoneticPr fontId="1" type="noConversion"/>
  </si>
  <si>
    <t>sGcLeA</t>
    <phoneticPr fontId="1" type="noConversion"/>
  </si>
  <si>
    <t>Neu5Gc(a2-3)Gal(b1-4)[Fuca(1-3)]GlcNAc-</t>
    <phoneticPr fontId="1" type="noConversion"/>
  </si>
  <si>
    <t>Neu5Gc(a2-3)Gal(b1-3)[Fuc(a1-4)]GlcNAc-</t>
    <phoneticPr fontId="1" type="noConversion"/>
  </si>
  <si>
    <t>AllowBG</t>
    <phoneticPr fontId="1" type="noConversion"/>
  </si>
  <si>
    <t>S0_penalize_sialylGc</t>
    <phoneticPr fontId="1" type="noConversion"/>
  </si>
  <si>
    <t>if you have a generic Neu5Gc diagnostic motif</t>
    <phoneticPr fontId="1" type="noConversion"/>
  </si>
  <si>
    <t>if you track S separately</t>
    <phoneticPr fontId="1" type="noConversion"/>
  </si>
  <si>
    <t>G</t>
    <phoneticPr fontId="1" type="noConversion"/>
  </si>
  <si>
    <t>Spos_missing_sialylGc</t>
    <phoneticPr fontId="1" type="noConversion"/>
  </si>
  <si>
    <t>DERIVED|gate=Sialylated_Ac|via=loss(Neu5Ac)|amb=LeY</t>
    <phoneticPr fontId="1" type="noConversion"/>
  </si>
  <si>
    <t>LeX (BY ion)</t>
    <phoneticPr fontId="1" type="noConversion"/>
  </si>
  <si>
    <t>DERIVED|gate=LeY|via=loss(Fuc)|amb=sLeX</t>
    <phoneticPr fontId="1" type="noConversion"/>
  </si>
  <si>
    <t>parent</t>
    <phoneticPr fontId="1" type="noConversion"/>
  </si>
  <si>
    <t>child</t>
    <phoneticPr fontId="1" type="noConversion"/>
  </si>
  <si>
    <t>zf_specificAc</t>
    <phoneticPr fontId="1" type="noConversion"/>
  </si>
  <si>
    <t>zf_specificGc</t>
    <phoneticPr fontId="1" type="noConversion"/>
  </si>
  <si>
    <t>keep empty for now (as unit test of empty column)</t>
    <phoneticPr fontId="1" type="noConversion"/>
  </si>
  <si>
    <t>parent mass</t>
    <phoneticPr fontId="1" type="noConversion"/>
  </si>
  <si>
    <t>child mass</t>
    <phoneticPr fontId="1" type="noConversion"/>
  </si>
  <si>
    <t>sLex(MS3)</t>
    <phoneticPr fontId="1" type="noConversion"/>
  </si>
  <si>
    <t>in interpretation v2?</t>
    <phoneticPr fontId="1" type="noConversion"/>
  </si>
  <si>
    <t>sLeX fragment</t>
    <phoneticPr fontId="1" type="noConversion"/>
  </si>
  <si>
    <t>v</t>
    <phoneticPr fontId="1" type="noConversion"/>
  </si>
  <si>
    <t>exclude</t>
    <phoneticPr fontId="1" type="noConversion"/>
  </si>
  <si>
    <t>Gal(b1-4)[-dCH3OH]GlcNAc-</t>
    <phoneticPr fontId="1" type="noConversion"/>
  </si>
  <si>
    <t>434-32 (C3 elimination), in paper it is 402.0 but I think should be 402.2. Same as BZ ion</t>
    <phoneticPr fontId="1" type="noConversion"/>
  </si>
  <si>
    <t>AllowLDNC</t>
    <phoneticPr fontId="1" type="noConversion"/>
  </si>
  <si>
    <t>AllowFuc</t>
    <phoneticPr fontId="1" type="noConversion"/>
  </si>
  <si>
    <t>Bloodgroup_motifs</t>
  </si>
  <si>
    <t>SialylAcHex</t>
    <phoneticPr fontId="1" type="noConversion"/>
  </si>
  <si>
    <t>SialylAcHex-</t>
    <phoneticPr fontId="1" type="noConversion"/>
  </si>
  <si>
    <t>BGH1 (no H2)</t>
    <phoneticPr fontId="1" type="noConversion"/>
  </si>
  <si>
    <t>BGH2 (no H1)</t>
    <phoneticPr fontId="1" type="noConversion"/>
  </si>
  <si>
    <t>LacDiNAc</t>
    <phoneticPr fontId="1" type="noConversion"/>
  </si>
  <si>
    <t>SialylAcLDNC</t>
    <phoneticPr fontId="1" type="noConversion"/>
  </si>
  <si>
    <t>SialylGcLDNC</t>
    <phoneticPr fontId="1" type="noConversion"/>
  </si>
  <si>
    <t>B</t>
    <phoneticPr fontId="1" type="noConversion"/>
  </si>
  <si>
    <t>Neu5Gc(a2-6)GalNAc(b1-4)GlcNAc-</t>
    <phoneticPr fontId="1" type="noConversion"/>
  </si>
  <si>
    <t>LacDiNAc_family</t>
    <phoneticPr fontId="1" type="noConversion"/>
  </si>
  <si>
    <t>SialylAcGalNAc</t>
    <phoneticPr fontId="1" type="noConversion"/>
  </si>
  <si>
    <t>SialylGcGalNAc</t>
    <phoneticPr fontId="1" type="noConversion"/>
  </si>
  <si>
    <t>Neu5Ac(a2-6)GalNAc(b1-4)-</t>
    <phoneticPr fontId="1" type="noConversion"/>
  </si>
  <si>
    <t>Neu5Gc(a2-6)GalNAc(b1-4)-</t>
    <phoneticPr fontId="1" type="noConversion"/>
  </si>
  <si>
    <t>SialylatedAc_motifs</t>
    <phoneticPr fontId="1" type="noConversion"/>
  </si>
  <si>
    <t>SialylatedGc_motifs</t>
    <phoneticPr fontId="1" type="noConversion"/>
  </si>
  <si>
    <t>SialylGcHex</t>
    <phoneticPr fontId="1" type="noConversion"/>
  </si>
  <si>
    <t>SialylGcHex-</t>
    <phoneticPr fontId="1" type="noConversion"/>
  </si>
  <si>
    <t>Neu5GcGal-</t>
    <phoneticPr fontId="1" type="noConversion"/>
  </si>
  <si>
    <t>[Neu5Ac]-Gal-</t>
    <phoneticPr fontId="1" type="noConversion"/>
  </si>
  <si>
    <t>[Neu5Gc]-Gal-</t>
    <phoneticPr fontId="1" type="noConversion"/>
  </si>
  <si>
    <t>LacDiNAc_motifs</t>
    <phoneticPr fontId="1" type="noConversion"/>
  </si>
  <si>
    <t>not in interpretation</t>
    <phoneticPr fontId="1" type="noConversion"/>
  </si>
  <si>
    <t>Gal(b1-4)[Fuc(a1-3)]GlcNAc-OH</t>
    <phoneticPr fontId="1" type="noConversion"/>
  </si>
  <si>
    <t>add -OH on C ion to avoid same identifier issue</t>
    <phoneticPr fontId="1" type="noConversion"/>
  </si>
  <si>
    <t>LacNAc1</t>
    <phoneticPr fontId="1" type="noConversion"/>
  </si>
  <si>
    <t>LacNAc2</t>
    <phoneticPr fontId="1" type="noConversion"/>
  </si>
  <si>
    <t>No interpretation, should give 0 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</si>
</sst>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Calibri"/>
      <family val="2"/>
      <charset val="161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b/>
      <sz val="12"/>
      <color theme="1"/>
      <name val="新細明體"/>
      <family val="1"/>
      <scheme val="minor"/>
    </font>
    <font>
      <b/>
      <sz val="12"/>
      <color theme="1"/>
      <name val="新細明體"/>
      <scheme val="minor"/>
    </font>
    <font>
      <b/>
      <sz val="12"/>
      <color rgb="FFFF0000"/>
      <name val="新細明體"/>
      <family val="1"/>
      <scheme val="minor"/>
    </font>
    <font>
      <b/>
      <sz val="12"/>
      <color rgb="FFFF0000"/>
      <name val="新細明體"/>
      <scheme val="minor"/>
    </font>
    <font>
      <b/>
      <sz val="12"/>
      <color theme="8"/>
      <name val="新細明體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quotePrefix="1" applyAlignment="1">
      <alignment vertical="center" wrapText="1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7</xdr:row>
      <xdr:rowOff>76200</xdr:rowOff>
    </xdr:from>
    <xdr:to>
      <xdr:col>6</xdr:col>
      <xdr:colOff>457859</xdr:colOff>
      <xdr:row>16</xdr:row>
      <xdr:rowOff>57411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C93EEF6-6F74-A933-B045-CFA867BD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1543050"/>
          <a:ext cx="4725059" cy="1867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557B-6CE2-4FD8-86A4-E2CD52A6D2FD}">
  <dimension ref="A1:K19"/>
  <sheetViews>
    <sheetView workbookViewId="0">
      <selection activeCell="C20" sqref="C20"/>
    </sheetView>
  </sheetViews>
  <sheetFormatPr defaultColWidth="8.75" defaultRowHeight="16.5"/>
  <cols>
    <col min="1" max="2" width="18.375" customWidth="1"/>
    <col min="3" max="3" width="11.125" customWidth="1"/>
  </cols>
  <sheetData>
    <row r="1" spans="1:11">
      <c r="A1" t="s">
        <v>25</v>
      </c>
      <c r="B1" t="s">
        <v>15</v>
      </c>
      <c r="C1" t="s">
        <v>14</v>
      </c>
      <c r="D1" t="s">
        <v>13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0</v>
      </c>
    </row>
    <row r="2" spans="1:11">
      <c r="A2" t="s">
        <v>9</v>
      </c>
      <c r="C2">
        <v>25410</v>
      </c>
      <c r="E2">
        <v>3</v>
      </c>
      <c r="F2" s="1">
        <v>0</v>
      </c>
      <c r="G2" t="s">
        <v>12</v>
      </c>
    </row>
    <row r="3" spans="1:11">
      <c r="A3" t="s">
        <v>9</v>
      </c>
      <c r="C3">
        <v>25012</v>
      </c>
      <c r="E3">
        <v>3</v>
      </c>
      <c r="F3" s="1">
        <v>0</v>
      </c>
      <c r="G3" t="s">
        <v>12</v>
      </c>
    </row>
    <row r="4" spans="1:11">
      <c r="A4" t="s">
        <v>9</v>
      </c>
      <c r="C4">
        <v>19376</v>
      </c>
      <c r="E4">
        <v>2</v>
      </c>
      <c r="F4" s="1">
        <v>0</v>
      </c>
      <c r="G4" t="s">
        <v>11</v>
      </c>
    </row>
    <row r="5" spans="1:11">
      <c r="A5" t="s">
        <v>9</v>
      </c>
      <c r="C5">
        <v>25253</v>
      </c>
      <c r="E5">
        <v>2</v>
      </c>
      <c r="F5" s="1">
        <v>0</v>
      </c>
      <c r="G5" t="s">
        <v>11</v>
      </c>
    </row>
    <row r="6" spans="1:11">
      <c r="A6" t="s">
        <v>9</v>
      </c>
      <c r="C6">
        <v>24797</v>
      </c>
      <c r="E6">
        <v>2</v>
      </c>
      <c r="F6" s="1">
        <v>0</v>
      </c>
      <c r="G6" t="s">
        <v>11</v>
      </c>
    </row>
    <row r="7" spans="1:11">
      <c r="A7" t="s">
        <v>9</v>
      </c>
      <c r="C7">
        <v>26112</v>
      </c>
      <c r="E7">
        <v>3</v>
      </c>
      <c r="F7" s="1">
        <v>0</v>
      </c>
      <c r="G7" t="s">
        <v>12</v>
      </c>
    </row>
    <row r="8" spans="1:11">
      <c r="A8" t="s">
        <v>9</v>
      </c>
      <c r="C8">
        <v>25865</v>
      </c>
      <c r="E8">
        <v>3</v>
      </c>
      <c r="F8" s="1">
        <v>0</v>
      </c>
      <c r="G8" t="s">
        <v>12</v>
      </c>
    </row>
    <row r="9" spans="1:11">
      <c r="A9" t="s">
        <v>9</v>
      </c>
      <c r="C9">
        <v>18942</v>
      </c>
      <c r="E9">
        <v>2</v>
      </c>
      <c r="F9" s="1">
        <v>0</v>
      </c>
      <c r="G9" t="s">
        <v>11</v>
      </c>
    </row>
    <row r="10" spans="1:11">
      <c r="A10" t="s">
        <v>9</v>
      </c>
      <c r="C10">
        <v>18338</v>
      </c>
      <c r="E10">
        <v>2</v>
      </c>
      <c r="F10" s="1">
        <v>0</v>
      </c>
      <c r="G10" t="s">
        <v>11</v>
      </c>
    </row>
    <row r="11" spans="1:11">
      <c r="A11" t="s">
        <v>9</v>
      </c>
      <c r="C11">
        <v>25769</v>
      </c>
      <c r="E11">
        <v>2</v>
      </c>
      <c r="F11" s="1">
        <v>0</v>
      </c>
      <c r="G11" t="s">
        <v>11</v>
      </c>
    </row>
    <row r="12" spans="1:11">
      <c r="A12" t="s">
        <v>9</v>
      </c>
      <c r="C12">
        <v>25000</v>
      </c>
      <c r="E12">
        <v>2</v>
      </c>
      <c r="F12" s="1">
        <v>0</v>
      </c>
      <c r="G12" t="s">
        <v>11</v>
      </c>
    </row>
    <row r="13" spans="1:11">
      <c r="A13" t="s">
        <v>10</v>
      </c>
      <c r="C13">
        <v>20547</v>
      </c>
      <c r="E13">
        <v>3</v>
      </c>
      <c r="F13" s="1">
        <v>0</v>
      </c>
      <c r="G13" t="s">
        <v>12</v>
      </c>
    </row>
    <row r="14" spans="1:11">
      <c r="A14" t="s">
        <v>10</v>
      </c>
      <c r="C14">
        <v>22298</v>
      </c>
      <c r="E14">
        <v>3</v>
      </c>
      <c r="F14" s="1">
        <v>0</v>
      </c>
      <c r="G14" t="s">
        <v>12</v>
      </c>
    </row>
    <row r="15" spans="1:11">
      <c r="A15" t="s">
        <v>10</v>
      </c>
      <c r="C15">
        <v>21991</v>
      </c>
      <c r="E15">
        <v>3</v>
      </c>
      <c r="F15" s="1">
        <v>0</v>
      </c>
      <c r="G15" t="s">
        <v>12</v>
      </c>
    </row>
    <row r="16" spans="1:11">
      <c r="A16" t="s">
        <v>10</v>
      </c>
      <c r="C16">
        <v>20818</v>
      </c>
      <c r="E16">
        <v>3</v>
      </c>
      <c r="F16" s="1">
        <v>0</v>
      </c>
      <c r="G16" t="s">
        <v>12</v>
      </c>
    </row>
    <row r="17" spans="1:7">
      <c r="A17" t="s">
        <v>10</v>
      </c>
      <c r="C17">
        <v>21612</v>
      </c>
      <c r="E17">
        <v>3</v>
      </c>
      <c r="F17" s="1">
        <v>0</v>
      </c>
      <c r="G17" t="s">
        <v>12</v>
      </c>
    </row>
    <row r="18" spans="1:7">
      <c r="A18" t="s">
        <v>10</v>
      </c>
      <c r="C18">
        <v>21119</v>
      </c>
      <c r="E18">
        <v>3</v>
      </c>
      <c r="F18" s="1">
        <v>0</v>
      </c>
      <c r="G18" t="s">
        <v>12</v>
      </c>
    </row>
    <row r="19" spans="1:7">
      <c r="A19" t="s">
        <v>41</v>
      </c>
      <c r="B19" t="s">
        <v>42</v>
      </c>
      <c r="C19" t="s">
        <v>43</v>
      </c>
      <c r="E19">
        <v>2</v>
      </c>
      <c r="G19" t="s">
        <v>44</v>
      </c>
    </row>
  </sheetData>
  <autoFilter ref="A1:K1" xr:uid="{6820557B-6CE2-4FD8-86A4-E2CD52A6D2FD}">
    <sortState xmlns:xlrd2="http://schemas.microsoft.com/office/spreadsheetml/2017/richdata2" ref="A2:K190">
      <sortCondition ref="A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70D2-22BF-4642-BF32-EB4D7E296CDD}">
  <dimension ref="A3:E25"/>
  <sheetViews>
    <sheetView topLeftCell="A7" workbookViewId="0">
      <selection activeCell="A25" sqref="A25"/>
    </sheetView>
  </sheetViews>
  <sheetFormatPr defaultRowHeight="16.5"/>
  <cols>
    <col min="1" max="1" width="49" customWidth="1"/>
    <col min="2" max="2" width="16.125" customWidth="1"/>
    <col min="3" max="3" width="41.5" customWidth="1"/>
    <col min="4" max="4" width="24.75" customWidth="1"/>
    <col min="5" max="5" width="89.625" customWidth="1"/>
  </cols>
  <sheetData>
    <row r="3" spans="1:5">
      <c r="A3" t="s">
        <v>184</v>
      </c>
    </row>
    <row r="4" spans="1:5">
      <c r="A4" t="s">
        <v>182</v>
      </c>
    </row>
    <row r="6" spans="1:5">
      <c r="A6" t="s">
        <v>185</v>
      </c>
      <c r="B6" t="s">
        <v>186</v>
      </c>
      <c r="C6" s="3" t="s">
        <v>0</v>
      </c>
      <c r="D6" t="s">
        <v>187</v>
      </c>
      <c r="E6" t="s">
        <v>0</v>
      </c>
    </row>
    <row r="7" spans="1:5">
      <c r="B7" t="s">
        <v>60</v>
      </c>
      <c r="C7" t="s">
        <v>188</v>
      </c>
      <c r="D7" t="s">
        <v>183</v>
      </c>
      <c r="E7" t="s">
        <v>189</v>
      </c>
    </row>
    <row r="9" spans="1:5">
      <c r="A9" t="s">
        <v>190</v>
      </c>
    </row>
    <row r="15" spans="1:5">
      <c r="A15" t="s">
        <v>191</v>
      </c>
    </row>
    <row r="17" spans="1:4">
      <c r="A17" t="s">
        <v>192</v>
      </c>
      <c r="B17" t="s">
        <v>187</v>
      </c>
      <c r="C17" t="s">
        <v>0</v>
      </c>
      <c r="D17" t="s">
        <v>186</v>
      </c>
    </row>
    <row r="18" spans="1:4">
      <c r="B18" t="s">
        <v>158</v>
      </c>
      <c r="C18" t="s">
        <v>195</v>
      </c>
      <c r="D18" t="s">
        <v>196</v>
      </c>
    </row>
    <row r="19" spans="1:4">
      <c r="B19" t="s">
        <v>193</v>
      </c>
      <c r="C19" t="s">
        <v>200</v>
      </c>
      <c r="D19" t="s">
        <v>194</v>
      </c>
    </row>
    <row r="25" spans="1:4" ht="198">
      <c r="A25" s="7" t="s">
        <v>201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437-E159-4E97-8559-08AC52B2F723}">
  <dimension ref="A1:H42"/>
  <sheetViews>
    <sheetView workbookViewId="0">
      <selection activeCell="A9" sqref="A9:A10"/>
    </sheetView>
  </sheetViews>
  <sheetFormatPr defaultColWidth="8.75" defaultRowHeight="16.5"/>
  <cols>
    <col min="1" max="1" width="22.375" customWidth="1"/>
    <col min="3" max="3" width="23.125" customWidth="1"/>
    <col min="4" max="4" width="34.375" customWidth="1"/>
    <col min="5" max="5" width="12.375" customWidth="1"/>
    <col min="6" max="6" width="9.125" customWidth="1"/>
    <col min="7" max="7" width="58.375" customWidth="1"/>
    <col min="8" max="8" width="51.125" customWidth="1"/>
    <col min="9" max="9" width="40.125" customWidth="1"/>
  </cols>
  <sheetData>
    <row r="1" spans="1:8">
      <c r="A1" t="s">
        <v>22</v>
      </c>
      <c r="B1" t="s">
        <v>7</v>
      </c>
      <c r="C1" t="s">
        <v>60</v>
      </c>
      <c r="D1" t="s">
        <v>15</v>
      </c>
      <c r="E1" t="s">
        <v>31</v>
      </c>
      <c r="F1" t="s">
        <v>33</v>
      </c>
      <c r="G1" t="s">
        <v>8</v>
      </c>
      <c r="H1" t="s">
        <v>27</v>
      </c>
    </row>
    <row r="2" spans="1:8">
      <c r="A2" t="s">
        <v>88</v>
      </c>
      <c r="B2" t="s">
        <v>16</v>
      </c>
      <c r="C2">
        <v>638.33820000000003</v>
      </c>
      <c r="D2" t="s">
        <v>89</v>
      </c>
      <c r="E2" t="s">
        <v>32</v>
      </c>
      <c r="F2" t="s">
        <v>34</v>
      </c>
    </row>
    <row r="3" spans="1:8">
      <c r="A3" t="s">
        <v>90</v>
      </c>
      <c r="B3" t="s">
        <v>91</v>
      </c>
      <c r="C3" s="1">
        <v>228.12299999999999</v>
      </c>
      <c r="D3" s="3" t="s">
        <v>107</v>
      </c>
      <c r="E3" t="s">
        <v>32</v>
      </c>
      <c r="F3" t="s">
        <v>34</v>
      </c>
      <c r="G3" t="s">
        <v>108</v>
      </c>
    </row>
    <row r="4" spans="1:8">
      <c r="A4" t="s">
        <v>92</v>
      </c>
      <c r="B4" t="s">
        <v>16</v>
      </c>
      <c r="C4">
        <v>638.33820000000003</v>
      </c>
      <c r="D4" t="s">
        <v>94</v>
      </c>
      <c r="E4" t="s">
        <v>32</v>
      </c>
      <c r="F4" t="s">
        <v>34</v>
      </c>
    </row>
    <row r="5" spans="1:8">
      <c r="A5" t="s">
        <v>93</v>
      </c>
      <c r="B5" t="s">
        <v>91</v>
      </c>
      <c r="C5" s="1">
        <v>606.31200000000001</v>
      </c>
      <c r="D5" t="s">
        <v>98</v>
      </c>
      <c r="E5" t="s">
        <v>32</v>
      </c>
      <c r="F5" t="s">
        <v>34</v>
      </c>
      <c r="G5" t="s">
        <v>95</v>
      </c>
    </row>
    <row r="6" spans="1:8">
      <c r="A6" t="s">
        <v>17</v>
      </c>
      <c r="B6" t="s">
        <v>16</v>
      </c>
      <c r="C6">
        <v>260.14920000000001</v>
      </c>
      <c r="D6" t="s">
        <v>35</v>
      </c>
      <c r="E6" t="s">
        <v>32</v>
      </c>
      <c r="F6" t="s">
        <v>34</v>
      </c>
    </row>
    <row r="7" spans="1:8">
      <c r="A7" t="s">
        <v>87</v>
      </c>
      <c r="B7" t="s">
        <v>83</v>
      </c>
      <c r="C7">
        <v>505.2756</v>
      </c>
      <c r="D7" t="s">
        <v>119</v>
      </c>
      <c r="E7" t="s">
        <v>32</v>
      </c>
      <c r="F7" t="s">
        <v>34</v>
      </c>
    </row>
    <row r="8" spans="1:8">
      <c r="A8" t="s">
        <v>84</v>
      </c>
      <c r="B8" t="s">
        <v>83</v>
      </c>
      <c r="C8">
        <v>464.24900000000002</v>
      </c>
      <c r="D8" t="s">
        <v>85</v>
      </c>
      <c r="E8" t="s">
        <v>32</v>
      </c>
      <c r="F8" t="s">
        <v>34</v>
      </c>
    </row>
    <row r="9" spans="1:8">
      <c r="A9" t="s">
        <v>112</v>
      </c>
      <c r="B9" t="s">
        <v>109</v>
      </c>
      <c r="C9" s="1">
        <v>464.24900000000002</v>
      </c>
      <c r="D9" t="s">
        <v>113</v>
      </c>
      <c r="E9" t="s">
        <v>32</v>
      </c>
      <c r="F9" t="s">
        <v>34</v>
      </c>
    </row>
    <row r="10" spans="1:8">
      <c r="A10" t="s">
        <v>111</v>
      </c>
      <c r="B10" t="s">
        <v>109</v>
      </c>
      <c r="C10">
        <v>464.24900000000002</v>
      </c>
      <c r="D10" t="s">
        <v>110</v>
      </c>
      <c r="E10" t="s">
        <v>32</v>
      </c>
      <c r="F10" t="s">
        <v>34</v>
      </c>
    </row>
    <row r="11" spans="1:8">
      <c r="A11" t="s">
        <v>48</v>
      </c>
      <c r="B11" t="s">
        <v>16</v>
      </c>
      <c r="C11">
        <v>638.33820000000003</v>
      </c>
      <c r="D11" t="s">
        <v>49</v>
      </c>
      <c r="E11" t="s">
        <v>32</v>
      </c>
      <c r="F11" t="s">
        <v>34</v>
      </c>
    </row>
    <row r="12" spans="1:8">
      <c r="A12" t="s">
        <v>48</v>
      </c>
      <c r="B12" t="s">
        <v>21</v>
      </c>
      <c r="C12">
        <v>656.34879999999998</v>
      </c>
      <c r="D12" t="s">
        <v>49</v>
      </c>
      <c r="E12" t="s">
        <v>32</v>
      </c>
      <c r="F12" t="s">
        <v>34</v>
      </c>
    </row>
    <row r="13" spans="1:8">
      <c r="A13" t="s">
        <v>102</v>
      </c>
      <c r="B13" t="s">
        <v>91</v>
      </c>
      <c r="C13" s="1">
        <v>402.21230000000003</v>
      </c>
      <c r="D13" s="3" t="s">
        <v>99</v>
      </c>
      <c r="E13" t="s">
        <v>32</v>
      </c>
      <c r="F13" t="s">
        <v>34</v>
      </c>
      <c r="G13" t="s">
        <v>257</v>
      </c>
    </row>
    <row r="14" spans="1:8">
      <c r="A14" t="s">
        <v>50</v>
      </c>
      <c r="B14" t="s">
        <v>45</v>
      </c>
      <c r="C14">
        <v>812.42740000000003</v>
      </c>
      <c r="D14" t="s">
        <v>58</v>
      </c>
      <c r="E14" t="s">
        <v>32</v>
      </c>
      <c r="F14" t="s">
        <v>34</v>
      </c>
      <c r="H14" s="2" t="s">
        <v>96</v>
      </c>
    </row>
    <row r="15" spans="1:8">
      <c r="A15" t="s">
        <v>100</v>
      </c>
      <c r="B15" t="s">
        <v>91</v>
      </c>
      <c r="C15" s="1">
        <v>402.21230000000003</v>
      </c>
      <c r="D15" t="s">
        <v>99</v>
      </c>
      <c r="E15" t="s">
        <v>32</v>
      </c>
      <c r="F15" t="s">
        <v>34</v>
      </c>
      <c r="G15" t="s">
        <v>97</v>
      </c>
    </row>
    <row r="16" spans="1:8">
      <c r="A16" t="s">
        <v>20</v>
      </c>
      <c r="B16" t="s">
        <v>16</v>
      </c>
      <c r="C16">
        <v>638.33820000000003</v>
      </c>
      <c r="D16" t="s">
        <v>30</v>
      </c>
      <c r="E16" t="s">
        <v>32</v>
      </c>
      <c r="F16" t="s">
        <v>34</v>
      </c>
      <c r="G16" t="s">
        <v>26</v>
      </c>
      <c r="H16" s="2" t="s">
        <v>28</v>
      </c>
    </row>
    <row r="17" spans="1:8">
      <c r="A17" t="s">
        <v>20</v>
      </c>
      <c r="B17" t="s">
        <v>21</v>
      </c>
      <c r="C17">
        <v>656.34879999999998</v>
      </c>
      <c r="D17" t="s">
        <v>284</v>
      </c>
      <c r="E17" t="s">
        <v>32</v>
      </c>
      <c r="F17" t="s">
        <v>34</v>
      </c>
      <c r="G17" t="s">
        <v>285</v>
      </c>
    </row>
    <row r="18" spans="1:8">
      <c r="A18" t="s">
        <v>101</v>
      </c>
      <c r="B18" t="s">
        <v>91</v>
      </c>
      <c r="C18" s="1">
        <v>432.22280000000001</v>
      </c>
      <c r="D18" t="s">
        <v>256</v>
      </c>
      <c r="E18" t="s">
        <v>32</v>
      </c>
      <c r="F18" t="s">
        <v>34</v>
      </c>
    </row>
    <row r="19" spans="1:8">
      <c r="A19" t="s">
        <v>51</v>
      </c>
      <c r="B19" t="s">
        <v>45</v>
      </c>
      <c r="C19">
        <v>812.42740000000003</v>
      </c>
      <c r="D19" t="s">
        <v>52</v>
      </c>
      <c r="E19" t="s">
        <v>32</v>
      </c>
      <c r="F19" t="s">
        <v>34</v>
      </c>
    </row>
    <row r="20" spans="1:8">
      <c r="A20" t="s">
        <v>103</v>
      </c>
      <c r="B20" t="s">
        <v>104</v>
      </c>
      <c r="C20" s="1">
        <v>606.31200000000001</v>
      </c>
      <c r="D20" t="s">
        <v>98</v>
      </c>
      <c r="E20" t="s">
        <v>32</v>
      </c>
      <c r="F20" t="s">
        <v>34</v>
      </c>
    </row>
    <row r="21" spans="1:8">
      <c r="A21" t="s">
        <v>18</v>
      </c>
      <c r="B21" t="s">
        <v>16</v>
      </c>
      <c r="C21">
        <v>344.17039999999997</v>
      </c>
      <c r="D21" t="s">
        <v>46</v>
      </c>
      <c r="E21" t="s">
        <v>32</v>
      </c>
      <c r="F21" t="s">
        <v>34</v>
      </c>
    </row>
    <row r="22" spans="1:8">
      <c r="A22" t="s">
        <v>18</v>
      </c>
      <c r="B22" t="s">
        <v>16</v>
      </c>
      <c r="C22">
        <v>376.19659999999999</v>
      </c>
      <c r="D22" t="s">
        <v>36</v>
      </c>
      <c r="E22" t="s">
        <v>32</v>
      </c>
      <c r="F22" t="s">
        <v>34</v>
      </c>
    </row>
    <row r="23" spans="1:8">
      <c r="A23" t="s">
        <v>19</v>
      </c>
      <c r="B23" t="s">
        <v>16</v>
      </c>
      <c r="C23">
        <v>374.18099999999998</v>
      </c>
      <c r="D23" t="s">
        <v>47</v>
      </c>
      <c r="E23" t="s">
        <v>32</v>
      </c>
      <c r="F23" t="s">
        <v>34</v>
      </c>
    </row>
    <row r="24" spans="1:8">
      <c r="A24" t="s">
        <v>19</v>
      </c>
      <c r="B24" t="s">
        <v>16</v>
      </c>
      <c r="C24">
        <v>406.2072</v>
      </c>
      <c r="D24" t="s">
        <v>37</v>
      </c>
      <c r="E24" t="s">
        <v>32</v>
      </c>
      <c r="F24" t="s">
        <v>34</v>
      </c>
    </row>
    <row r="25" spans="1:8">
      <c r="A25" t="s">
        <v>261</v>
      </c>
      <c r="B25" t="s">
        <v>23</v>
      </c>
      <c r="C25">
        <v>580.29639999999995</v>
      </c>
      <c r="D25" t="s">
        <v>38</v>
      </c>
      <c r="E25" t="s">
        <v>32</v>
      </c>
      <c r="F25" t="s">
        <v>34</v>
      </c>
    </row>
    <row r="26" spans="1:8">
      <c r="A26" t="s">
        <v>262</v>
      </c>
      <c r="B26" t="s">
        <v>39</v>
      </c>
      <c r="C26">
        <v>566.28070000000002</v>
      </c>
      <c r="D26" t="s">
        <v>280</v>
      </c>
      <c r="E26" t="s">
        <v>32</v>
      </c>
      <c r="F26" t="s">
        <v>34</v>
      </c>
      <c r="G26" t="s">
        <v>86</v>
      </c>
    </row>
    <row r="27" spans="1:8">
      <c r="A27" t="s">
        <v>210</v>
      </c>
      <c r="B27" t="s">
        <v>45</v>
      </c>
      <c r="C27">
        <v>825.42269999999996</v>
      </c>
      <c r="D27" t="s">
        <v>212</v>
      </c>
      <c r="E27" t="s">
        <v>32</v>
      </c>
      <c r="F27" t="s">
        <v>34</v>
      </c>
    </row>
    <row r="28" spans="1:8">
      <c r="A28" t="s">
        <v>40</v>
      </c>
      <c r="B28" t="s">
        <v>23</v>
      </c>
      <c r="C28">
        <v>999.51189999999997</v>
      </c>
      <c r="D28" t="s">
        <v>152</v>
      </c>
      <c r="E28" t="s">
        <v>32</v>
      </c>
      <c r="F28" t="s">
        <v>34</v>
      </c>
      <c r="H28" t="s">
        <v>29</v>
      </c>
    </row>
    <row r="29" spans="1:8">
      <c r="A29" t="s">
        <v>105</v>
      </c>
      <c r="B29" t="s">
        <v>104</v>
      </c>
      <c r="C29">
        <v>793.6</v>
      </c>
      <c r="D29" t="s">
        <v>106</v>
      </c>
      <c r="E29" t="s">
        <v>32</v>
      </c>
      <c r="F29" t="s">
        <v>34</v>
      </c>
    </row>
    <row r="30" spans="1:8">
      <c r="A30" t="s">
        <v>208</v>
      </c>
      <c r="B30" t="s">
        <v>16</v>
      </c>
      <c r="C30">
        <v>999.51189999999997</v>
      </c>
      <c r="D30" t="s">
        <v>209</v>
      </c>
      <c r="E30" t="s">
        <v>32</v>
      </c>
      <c r="F30" t="s">
        <v>34</v>
      </c>
    </row>
    <row r="31" spans="1:8">
      <c r="A31" t="s">
        <v>211</v>
      </c>
      <c r="B31" t="s">
        <v>16</v>
      </c>
      <c r="C31">
        <v>855.43330000000003</v>
      </c>
      <c r="D31" t="s">
        <v>213</v>
      </c>
      <c r="E31" t="s">
        <v>32</v>
      </c>
      <c r="F31" t="s">
        <v>34</v>
      </c>
    </row>
    <row r="32" spans="1:8">
      <c r="A32" t="s">
        <v>220</v>
      </c>
      <c r="B32" t="s">
        <v>221</v>
      </c>
      <c r="C32">
        <v>624.32259999999997</v>
      </c>
      <c r="D32" s="12" t="s">
        <v>219</v>
      </c>
      <c r="E32" t="s">
        <v>32</v>
      </c>
      <c r="F32" t="s">
        <v>34</v>
      </c>
    </row>
    <row r="33" spans="1:7">
      <c r="A33" t="s">
        <v>232</v>
      </c>
      <c r="B33" t="s">
        <v>16</v>
      </c>
      <c r="C33">
        <v>1029.5225</v>
      </c>
      <c r="D33" t="s">
        <v>233</v>
      </c>
      <c r="E33" t="s">
        <v>32</v>
      </c>
      <c r="F33" t="s">
        <v>34</v>
      </c>
    </row>
    <row r="34" spans="1:7">
      <c r="A34" t="s">
        <v>231</v>
      </c>
      <c r="B34" t="s">
        <v>16</v>
      </c>
      <c r="C34">
        <v>1029.5225</v>
      </c>
      <c r="D34" t="s">
        <v>234</v>
      </c>
      <c r="E34" t="s">
        <v>32</v>
      </c>
      <c r="F34" t="s">
        <v>34</v>
      </c>
    </row>
    <row r="35" spans="1:7">
      <c r="A35" t="s">
        <v>246</v>
      </c>
      <c r="B35" t="s">
        <v>16</v>
      </c>
      <c r="C35">
        <v>1203.6116999999999</v>
      </c>
      <c r="E35" t="s">
        <v>32</v>
      </c>
      <c r="F35" t="s">
        <v>34</v>
      </c>
      <c r="G35" t="s">
        <v>248</v>
      </c>
    </row>
    <row r="36" spans="1:7">
      <c r="A36" t="s">
        <v>247</v>
      </c>
      <c r="B36" t="s">
        <v>16</v>
      </c>
      <c r="C36">
        <v>1233.6222</v>
      </c>
      <c r="E36" t="s">
        <v>32</v>
      </c>
      <c r="F36" t="s">
        <v>34</v>
      </c>
    </row>
    <row r="37" spans="1:7">
      <c r="A37" t="s">
        <v>266</v>
      </c>
      <c r="B37" t="s">
        <v>268</v>
      </c>
      <c r="C37">
        <v>866.44920000000002</v>
      </c>
      <c r="D37" t="s">
        <v>155</v>
      </c>
      <c r="E37" t="s">
        <v>32</v>
      </c>
      <c r="F37" t="s">
        <v>34</v>
      </c>
    </row>
    <row r="38" spans="1:7">
      <c r="A38" t="s">
        <v>267</v>
      </c>
      <c r="B38" t="s">
        <v>268</v>
      </c>
      <c r="C38">
        <v>896.45979999999997</v>
      </c>
      <c r="D38" t="s">
        <v>269</v>
      </c>
      <c r="E38" t="s">
        <v>32</v>
      </c>
      <c r="F38" t="s">
        <v>34</v>
      </c>
    </row>
    <row r="39" spans="1:7">
      <c r="A39" t="s">
        <v>271</v>
      </c>
      <c r="B39" t="s">
        <v>268</v>
      </c>
      <c r="C39">
        <v>621.3229</v>
      </c>
      <c r="D39" t="s">
        <v>273</v>
      </c>
      <c r="E39" t="s">
        <v>32</v>
      </c>
      <c r="F39" t="s">
        <v>34</v>
      </c>
    </row>
    <row r="40" spans="1:7">
      <c r="A40" t="s">
        <v>272</v>
      </c>
      <c r="B40" t="s">
        <v>268</v>
      </c>
      <c r="C40">
        <v>651.33349999999996</v>
      </c>
      <c r="D40" t="s">
        <v>274</v>
      </c>
      <c r="E40" t="s">
        <v>32</v>
      </c>
      <c r="F40" t="s">
        <v>34</v>
      </c>
    </row>
    <row r="41" spans="1:7">
      <c r="A41" t="s">
        <v>277</v>
      </c>
      <c r="B41" t="s">
        <v>16</v>
      </c>
      <c r="C41">
        <v>610.30690000000004</v>
      </c>
      <c r="D41" t="s">
        <v>279</v>
      </c>
      <c r="E41" t="s">
        <v>32</v>
      </c>
      <c r="F41" t="s">
        <v>34</v>
      </c>
    </row>
    <row r="42" spans="1:7">
      <c r="A42" t="s">
        <v>278</v>
      </c>
      <c r="B42" t="s">
        <v>39</v>
      </c>
      <c r="C42">
        <v>596.29129999999998</v>
      </c>
      <c r="D42" t="s">
        <v>281</v>
      </c>
      <c r="E42" t="s">
        <v>32</v>
      </c>
      <c r="F42" t="s">
        <v>34</v>
      </c>
      <c r="G42" t="s">
        <v>86</v>
      </c>
    </row>
  </sheetData>
  <autoFilter ref="A1:K1" xr:uid="{D125B437-E159-4E97-8559-08AC52B2F723}">
    <sortState xmlns:xlrd2="http://schemas.microsoft.com/office/spreadsheetml/2017/richdata2" ref="A2:I29">
      <sortCondition ref="A1"/>
    </sortState>
  </autoFilter>
  <phoneticPr fontId="1" type="noConversion"/>
  <conditionalFormatting sqref="C28:C30 C32:C40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BE24-5C3E-4DE8-8A19-1E2068143774}">
  <dimension ref="A1:N41"/>
  <sheetViews>
    <sheetView topLeftCell="A23" workbookViewId="0">
      <selection activeCell="D26" sqref="D26"/>
    </sheetView>
  </sheetViews>
  <sheetFormatPr defaultRowHeight="16.5"/>
  <cols>
    <col min="1" max="2" width="21.375" customWidth="1"/>
    <col min="3" max="3" width="20.625" customWidth="1"/>
    <col min="4" max="4" width="26" customWidth="1"/>
    <col min="5" max="5" width="19.75" customWidth="1"/>
    <col min="6" max="6" width="33.125" customWidth="1"/>
    <col min="7" max="7" width="20.75" customWidth="1"/>
    <col min="12" max="12" width="17.125" customWidth="1"/>
    <col min="13" max="13" width="20.25" customWidth="1"/>
    <col min="14" max="14" width="33.375" customWidth="1"/>
  </cols>
  <sheetData>
    <row r="1" spans="1:14" ht="33">
      <c r="A1" s="4" t="s">
        <v>197</v>
      </c>
      <c r="B1" s="9" t="s">
        <v>165</v>
      </c>
      <c r="C1" s="4" t="s">
        <v>61</v>
      </c>
      <c r="D1" s="4" t="s">
        <v>204</v>
      </c>
      <c r="E1" s="4" t="s">
        <v>120</v>
      </c>
      <c r="F1" s="4" t="s">
        <v>118</v>
      </c>
      <c r="G1" s="4" t="s">
        <v>218</v>
      </c>
      <c r="H1" s="4" t="s">
        <v>62</v>
      </c>
      <c r="I1" s="4" t="s">
        <v>63</v>
      </c>
      <c r="J1" s="6" t="s">
        <v>64</v>
      </c>
      <c r="K1" s="6" t="s">
        <v>65</v>
      </c>
      <c r="L1" s="4" t="s">
        <v>66</v>
      </c>
      <c r="M1" s="4" t="s">
        <v>67</v>
      </c>
      <c r="N1" s="4" t="s">
        <v>68</v>
      </c>
    </row>
    <row r="2" spans="1:14">
      <c r="A2" t="s">
        <v>88</v>
      </c>
      <c r="B2" t="s">
        <v>88</v>
      </c>
      <c r="C2" s="7" t="s">
        <v>133</v>
      </c>
      <c r="D2" t="s">
        <v>260</v>
      </c>
      <c r="F2" t="s">
        <v>89</v>
      </c>
      <c r="G2" t="s">
        <v>88</v>
      </c>
      <c r="H2" s="7" t="s">
        <v>71</v>
      </c>
      <c r="I2" s="7" t="s">
        <v>72</v>
      </c>
      <c r="J2" s="5">
        <v>1</v>
      </c>
      <c r="K2" s="5">
        <v>1</v>
      </c>
      <c r="L2" s="7" t="s">
        <v>73</v>
      </c>
      <c r="M2" s="7" t="s">
        <v>73</v>
      </c>
    </row>
    <row r="3" spans="1:14">
      <c r="A3" t="s">
        <v>88</v>
      </c>
      <c r="B3" t="s">
        <v>90</v>
      </c>
      <c r="C3" s="7" t="s">
        <v>133</v>
      </c>
      <c r="D3" t="s">
        <v>260</v>
      </c>
      <c r="E3" t="s">
        <v>88</v>
      </c>
      <c r="F3" s="3" t="s">
        <v>107</v>
      </c>
      <c r="G3" t="s">
        <v>90</v>
      </c>
      <c r="H3" s="7" t="s">
        <v>71</v>
      </c>
      <c r="I3" s="7" t="s">
        <v>72</v>
      </c>
      <c r="J3" s="5">
        <v>1</v>
      </c>
      <c r="K3" s="5">
        <v>1</v>
      </c>
      <c r="L3" s="7" t="s">
        <v>73</v>
      </c>
      <c r="M3" s="7" t="s">
        <v>73</v>
      </c>
    </row>
    <row r="4" spans="1:14">
      <c r="A4" t="s">
        <v>264</v>
      </c>
      <c r="B4" t="s">
        <v>90</v>
      </c>
      <c r="C4" s="7" t="s">
        <v>133</v>
      </c>
      <c r="D4" t="s">
        <v>260</v>
      </c>
      <c r="E4" t="s">
        <v>88</v>
      </c>
      <c r="F4" s="3" t="s">
        <v>107</v>
      </c>
      <c r="G4" t="s">
        <v>90</v>
      </c>
      <c r="H4" s="7" t="s">
        <v>78</v>
      </c>
      <c r="I4" s="7" t="s">
        <v>72</v>
      </c>
      <c r="J4" s="5">
        <v>1</v>
      </c>
      <c r="K4" s="5">
        <v>1</v>
      </c>
      <c r="L4" s="7" t="s">
        <v>73</v>
      </c>
      <c r="M4" s="7" t="s">
        <v>73</v>
      </c>
    </row>
    <row r="5" spans="1:14">
      <c r="A5" t="s">
        <v>92</v>
      </c>
      <c r="B5" t="s">
        <v>92</v>
      </c>
      <c r="C5" s="7" t="s">
        <v>133</v>
      </c>
      <c r="D5" t="s">
        <v>260</v>
      </c>
      <c r="F5" t="s">
        <v>94</v>
      </c>
      <c r="G5" t="s">
        <v>92</v>
      </c>
      <c r="H5" s="7" t="s">
        <v>71</v>
      </c>
      <c r="I5" s="7" t="s">
        <v>72</v>
      </c>
      <c r="J5" s="5">
        <v>1</v>
      </c>
      <c r="K5" s="5">
        <v>1</v>
      </c>
      <c r="L5" s="7" t="s">
        <v>73</v>
      </c>
      <c r="M5" s="7" t="s">
        <v>73</v>
      </c>
    </row>
    <row r="6" spans="1:14">
      <c r="A6" t="s">
        <v>92</v>
      </c>
      <c r="B6" t="s">
        <v>93</v>
      </c>
      <c r="C6" s="7" t="s">
        <v>133</v>
      </c>
      <c r="D6" t="s">
        <v>260</v>
      </c>
      <c r="E6" t="s">
        <v>92</v>
      </c>
      <c r="F6" t="s">
        <v>98</v>
      </c>
      <c r="G6" t="s">
        <v>93</v>
      </c>
      <c r="H6" s="7" t="s">
        <v>71</v>
      </c>
      <c r="I6" s="7" t="s">
        <v>72</v>
      </c>
      <c r="J6" s="5">
        <v>1</v>
      </c>
      <c r="K6" s="5">
        <v>1</v>
      </c>
      <c r="L6" s="7" t="s">
        <v>73</v>
      </c>
      <c r="M6" s="7" t="s">
        <v>73</v>
      </c>
    </row>
    <row r="7" spans="1:14">
      <c r="A7" t="s">
        <v>263</v>
      </c>
      <c r="B7" t="s">
        <v>93</v>
      </c>
      <c r="C7" s="7" t="s">
        <v>133</v>
      </c>
      <c r="D7" t="s">
        <v>260</v>
      </c>
      <c r="E7" t="s">
        <v>92</v>
      </c>
      <c r="F7" t="s">
        <v>98</v>
      </c>
      <c r="G7" t="s">
        <v>93</v>
      </c>
      <c r="H7" s="7" t="s">
        <v>255</v>
      </c>
      <c r="I7" s="7" t="s">
        <v>72</v>
      </c>
      <c r="J7" s="5">
        <v>1</v>
      </c>
      <c r="K7" s="5">
        <v>1</v>
      </c>
      <c r="L7" s="7" t="s">
        <v>73</v>
      </c>
      <c r="M7" s="7" t="s">
        <v>73</v>
      </c>
    </row>
    <row r="8" spans="1:14">
      <c r="A8" s="7" t="s">
        <v>136</v>
      </c>
      <c r="B8" s="7" t="s">
        <v>59</v>
      </c>
      <c r="C8" s="7" t="s">
        <v>115</v>
      </c>
      <c r="D8" s="7" t="s">
        <v>166</v>
      </c>
      <c r="F8" s="7" t="s">
        <v>35</v>
      </c>
      <c r="G8" s="7" t="s">
        <v>59</v>
      </c>
      <c r="H8" s="7" t="s">
        <v>71</v>
      </c>
      <c r="I8" s="7" t="s">
        <v>72</v>
      </c>
      <c r="J8" s="5">
        <v>1</v>
      </c>
      <c r="K8" s="5">
        <v>1</v>
      </c>
      <c r="L8" s="7" t="s">
        <v>73</v>
      </c>
      <c r="M8" s="7" t="s">
        <v>73</v>
      </c>
    </row>
    <row r="9" spans="1:14" ht="49.5">
      <c r="A9" s="7" t="s">
        <v>136</v>
      </c>
      <c r="B9" s="7" t="s">
        <v>59</v>
      </c>
      <c r="C9" s="7" t="s">
        <v>115</v>
      </c>
      <c r="D9" s="7" t="s">
        <v>270</v>
      </c>
      <c r="E9" s="7" t="s">
        <v>87</v>
      </c>
      <c r="F9" s="7" t="s">
        <v>35</v>
      </c>
      <c r="G9" s="7" t="s">
        <v>59</v>
      </c>
      <c r="H9" s="7" t="s">
        <v>71</v>
      </c>
      <c r="I9" s="7" t="s">
        <v>72</v>
      </c>
      <c r="J9" s="5">
        <v>1</v>
      </c>
      <c r="K9" s="5">
        <v>1</v>
      </c>
      <c r="L9" s="7" t="s">
        <v>73</v>
      </c>
      <c r="M9" s="7" t="s">
        <v>73</v>
      </c>
      <c r="N9" s="7" t="s">
        <v>167</v>
      </c>
    </row>
    <row r="10" spans="1:14">
      <c r="A10" s="7" t="s">
        <v>87</v>
      </c>
      <c r="B10" s="7" t="s">
        <v>87</v>
      </c>
      <c r="C10" s="7" t="s">
        <v>133</v>
      </c>
      <c r="D10" s="7" t="s">
        <v>270</v>
      </c>
      <c r="F10" s="7" t="s">
        <v>119</v>
      </c>
      <c r="G10" s="7" t="s">
        <v>87</v>
      </c>
      <c r="H10" s="7" t="s">
        <v>71</v>
      </c>
      <c r="I10" s="7" t="s">
        <v>72</v>
      </c>
      <c r="J10" s="5">
        <v>1</v>
      </c>
      <c r="K10" s="5">
        <v>1</v>
      </c>
      <c r="L10" s="7" t="s">
        <v>73</v>
      </c>
      <c r="M10" s="7" t="s">
        <v>73</v>
      </c>
    </row>
    <row r="11" spans="1:14">
      <c r="A11" t="s">
        <v>48</v>
      </c>
      <c r="B11" t="s">
        <v>48</v>
      </c>
      <c r="C11" s="7" t="s">
        <v>69</v>
      </c>
      <c r="D11" t="s">
        <v>224</v>
      </c>
      <c r="F11" t="s">
        <v>49</v>
      </c>
      <c r="G11" t="s">
        <v>48</v>
      </c>
      <c r="H11" s="7" t="s">
        <v>71</v>
      </c>
      <c r="I11" s="7" t="s">
        <v>72</v>
      </c>
      <c r="J11" s="5">
        <v>1</v>
      </c>
      <c r="K11" s="5">
        <v>1</v>
      </c>
      <c r="L11" s="7" t="s">
        <v>73</v>
      </c>
      <c r="M11" s="7" t="s">
        <v>73</v>
      </c>
    </row>
    <row r="12" spans="1:14">
      <c r="A12" t="s">
        <v>102</v>
      </c>
      <c r="B12" t="s">
        <v>102</v>
      </c>
      <c r="C12" s="7" t="s">
        <v>69</v>
      </c>
      <c r="D12" t="s">
        <v>224</v>
      </c>
      <c r="E12" s="7" t="s">
        <v>76</v>
      </c>
      <c r="F12" s="3" t="s">
        <v>99</v>
      </c>
      <c r="G12" t="s">
        <v>102</v>
      </c>
      <c r="H12" s="7" t="s">
        <v>71</v>
      </c>
      <c r="I12" s="7" t="s">
        <v>72</v>
      </c>
      <c r="J12" s="5">
        <v>1</v>
      </c>
      <c r="K12" s="5">
        <v>1</v>
      </c>
      <c r="L12" s="7" t="s">
        <v>73</v>
      </c>
      <c r="M12" s="7" t="s">
        <v>73</v>
      </c>
      <c r="N12" s="7" t="s">
        <v>77</v>
      </c>
    </row>
    <row r="13" spans="1:14">
      <c r="A13" s="7" t="s">
        <v>198</v>
      </c>
      <c r="B13" t="s">
        <v>102</v>
      </c>
      <c r="C13" s="7" t="s">
        <v>69</v>
      </c>
      <c r="D13" t="s">
        <v>224</v>
      </c>
      <c r="E13" s="7" t="s">
        <v>48</v>
      </c>
      <c r="F13" s="3" t="s">
        <v>99</v>
      </c>
      <c r="G13" t="s">
        <v>102</v>
      </c>
      <c r="H13" s="7" t="s">
        <v>255</v>
      </c>
      <c r="I13" s="7" t="s">
        <v>72</v>
      </c>
      <c r="J13" s="5">
        <v>1</v>
      </c>
      <c r="K13" s="5">
        <v>1</v>
      </c>
      <c r="L13" s="7" t="s">
        <v>73</v>
      </c>
      <c r="M13" s="7" t="s">
        <v>73</v>
      </c>
      <c r="N13" s="7" t="s">
        <v>79</v>
      </c>
    </row>
    <row r="14" spans="1:14">
      <c r="A14" t="s">
        <v>50</v>
      </c>
      <c r="B14" t="s">
        <v>50</v>
      </c>
      <c r="C14" s="7" t="s">
        <v>69</v>
      </c>
      <c r="D14" t="s">
        <v>224</v>
      </c>
      <c r="F14" t="s">
        <v>58</v>
      </c>
      <c r="G14" t="s">
        <v>50</v>
      </c>
      <c r="H14" s="7" t="s">
        <v>71</v>
      </c>
      <c r="I14" s="7" t="s">
        <v>72</v>
      </c>
      <c r="J14" s="5">
        <v>1</v>
      </c>
      <c r="K14" s="5">
        <v>1</v>
      </c>
      <c r="L14" s="7" t="s">
        <v>73</v>
      </c>
      <c r="M14" s="7" t="s">
        <v>73</v>
      </c>
    </row>
    <row r="15" spans="1:14">
      <c r="A15" t="s">
        <v>100</v>
      </c>
      <c r="B15" t="s">
        <v>100</v>
      </c>
      <c r="C15" s="7" t="s">
        <v>133</v>
      </c>
      <c r="D15" t="s">
        <v>224</v>
      </c>
      <c r="E15" t="s">
        <v>50</v>
      </c>
      <c r="F15" t="s">
        <v>99</v>
      </c>
      <c r="G15" t="s">
        <v>100</v>
      </c>
      <c r="H15" s="7" t="s">
        <v>71</v>
      </c>
      <c r="I15" s="7" t="s">
        <v>72</v>
      </c>
      <c r="J15" s="5">
        <v>1</v>
      </c>
      <c r="K15" s="5">
        <v>1</v>
      </c>
      <c r="L15" s="7" t="s">
        <v>73</v>
      </c>
      <c r="M15" s="7" t="s">
        <v>73</v>
      </c>
    </row>
    <row r="16" spans="1:14">
      <c r="A16" s="7" t="s">
        <v>217</v>
      </c>
      <c r="B16" t="s">
        <v>100</v>
      </c>
      <c r="C16" s="7" t="s">
        <v>69</v>
      </c>
      <c r="D16" t="s">
        <v>224</v>
      </c>
      <c r="E16" t="s">
        <v>50</v>
      </c>
      <c r="F16" t="s">
        <v>99</v>
      </c>
      <c r="G16" t="s">
        <v>100</v>
      </c>
      <c r="H16" s="7" t="s">
        <v>78</v>
      </c>
      <c r="I16" s="7" t="s">
        <v>72</v>
      </c>
      <c r="J16" s="5">
        <v>1</v>
      </c>
      <c r="K16" s="5">
        <v>1</v>
      </c>
      <c r="L16" s="7" t="s">
        <v>73</v>
      </c>
      <c r="M16" s="7" t="s">
        <v>73</v>
      </c>
    </row>
    <row r="17" spans="1:14" ht="33">
      <c r="A17" t="s">
        <v>242</v>
      </c>
      <c r="B17" t="s">
        <v>215</v>
      </c>
      <c r="C17" s="7" t="s">
        <v>69</v>
      </c>
      <c r="D17" t="s">
        <v>224</v>
      </c>
      <c r="E17" s="7" t="s">
        <v>81</v>
      </c>
      <c r="F17" s="12" t="s">
        <v>219</v>
      </c>
      <c r="G17" t="s">
        <v>215</v>
      </c>
      <c r="H17" s="7" t="s">
        <v>71</v>
      </c>
      <c r="I17" s="7" t="s">
        <v>72</v>
      </c>
      <c r="J17" s="5">
        <v>1</v>
      </c>
      <c r="K17" s="5">
        <v>0.6</v>
      </c>
      <c r="L17" s="7" t="s">
        <v>73</v>
      </c>
      <c r="M17" s="7" t="s">
        <v>73</v>
      </c>
      <c r="N17" s="7" t="s">
        <v>241</v>
      </c>
    </row>
    <row r="18" spans="1:14" ht="33">
      <c r="A18" t="s">
        <v>242</v>
      </c>
      <c r="B18" t="s">
        <v>215</v>
      </c>
      <c r="C18" s="7" t="s">
        <v>69</v>
      </c>
      <c r="D18" t="s">
        <v>224</v>
      </c>
      <c r="E18" s="7" t="s">
        <v>51</v>
      </c>
      <c r="F18" s="12" t="s">
        <v>219</v>
      </c>
      <c r="G18" t="s">
        <v>215</v>
      </c>
      <c r="H18" s="7" t="s">
        <v>71</v>
      </c>
      <c r="I18" s="7" t="s">
        <v>72</v>
      </c>
      <c r="J18" s="5">
        <v>1</v>
      </c>
      <c r="K18" s="5">
        <v>0.6</v>
      </c>
      <c r="L18" s="7" t="s">
        <v>73</v>
      </c>
      <c r="M18" s="7" t="s">
        <v>73</v>
      </c>
      <c r="N18" s="7" t="s">
        <v>243</v>
      </c>
    </row>
    <row r="19" spans="1:14">
      <c r="A19" t="s">
        <v>215</v>
      </c>
      <c r="B19" t="s">
        <v>215</v>
      </c>
      <c r="C19" s="7" t="s">
        <v>69</v>
      </c>
      <c r="D19" t="s">
        <v>224</v>
      </c>
      <c r="F19" t="s">
        <v>30</v>
      </c>
      <c r="G19" t="s">
        <v>215</v>
      </c>
      <c r="H19" s="7" t="s">
        <v>71</v>
      </c>
      <c r="I19" s="7" t="s">
        <v>72</v>
      </c>
      <c r="J19" s="5">
        <v>1</v>
      </c>
      <c r="K19" s="5">
        <v>1</v>
      </c>
      <c r="L19" s="7" t="s">
        <v>73</v>
      </c>
      <c r="M19" s="7" t="s">
        <v>73</v>
      </c>
    </row>
    <row r="20" spans="1:14">
      <c r="A20" t="s">
        <v>101</v>
      </c>
      <c r="B20" t="s">
        <v>101</v>
      </c>
      <c r="C20" s="7" t="s">
        <v>69</v>
      </c>
      <c r="D20" t="s">
        <v>224</v>
      </c>
      <c r="E20" s="7" t="s">
        <v>20</v>
      </c>
      <c r="F20" t="s">
        <v>256</v>
      </c>
      <c r="G20" t="s">
        <v>101</v>
      </c>
      <c r="H20" s="7" t="s">
        <v>71</v>
      </c>
      <c r="I20" s="7" t="s">
        <v>72</v>
      </c>
      <c r="J20" s="5">
        <v>1</v>
      </c>
      <c r="K20" s="5">
        <v>1</v>
      </c>
      <c r="L20" s="7" t="s">
        <v>73</v>
      </c>
      <c r="M20" s="7" t="s">
        <v>73</v>
      </c>
      <c r="N20" s="7" t="s">
        <v>75</v>
      </c>
    </row>
    <row r="21" spans="1:14">
      <c r="A21" s="7" t="s">
        <v>199</v>
      </c>
      <c r="B21" t="s">
        <v>101</v>
      </c>
      <c r="C21" s="7" t="s">
        <v>69</v>
      </c>
      <c r="D21" t="s">
        <v>224</v>
      </c>
      <c r="E21" s="7" t="s">
        <v>215</v>
      </c>
      <c r="F21" t="s">
        <v>256</v>
      </c>
      <c r="G21" t="s">
        <v>101</v>
      </c>
      <c r="H21" s="7" t="s">
        <v>78</v>
      </c>
      <c r="I21" s="7" t="s">
        <v>72</v>
      </c>
      <c r="J21" s="5">
        <v>1</v>
      </c>
      <c r="K21" s="5">
        <v>1</v>
      </c>
      <c r="L21" s="7" t="s">
        <v>73</v>
      </c>
      <c r="M21" s="7" t="s">
        <v>73</v>
      </c>
      <c r="N21" s="7" t="s">
        <v>80</v>
      </c>
    </row>
    <row r="22" spans="1:14">
      <c r="A22" t="s">
        <v>51</v>
      </c>
      <c r="B22" t="s">
        <v>51</v>
      </c>
      <c r="C22" s="7" t="s">
        <v>69</v>
      </c>
      <c r="D22" t="s">
        <v>224</v>
      </c>
      <c r="F22" t="s">
        <v>52</v>
      </c>
      <c r="G22" t="s">
        <v>51</v>
      </c>
      <c r="H22" s="7" t="s">
        <v>71</v>
      </c>
      <c r="I22" s="7" t="s">
        <v>72</v>
      </c>
      <c r="J22" s="5">
        <v>1</v>
      </c>
      <c r="K22" s="5">
        <v>1</v>
      </c>
      <c r="L22" s="7" t="s">
        <v>73</v>
      </c>
      <c r="M22" s="7" t="s">
        <v>73</v>
      </c>
    </row>
    <row r="23" spans="1:14">
      <c r="A23" t="s">
        <v>103</v>
      </c>
      <c r="B23" t="s">
        <v>103</v>
      </c>
      <c r="C23" s="7" t="s">
        <v>69</v>
      </c>
      <c r="D23" t="s">
        <v>224</v>
      </c>
      <c r="E23" t="s">
        <v>51</v>
      </c>
      <c r="F23" t="s">
        <v>98</v>
      </c>
      <c r="G23" t="s">
        <v>103</v>
      </c>
      <c r="H23" s="7" t="s">
        <v>71</v>
      </c>
      <c r="I23" s="7" t="s">
        <v>72</v>
      </c>
      <c r="J23" s="5">
        <v>1</v>
      </c>
      <c r="K23" s="5">
        <v>1</v>
      </c>
      <c r="L23" s="7" t="s">
        <v>73</v>
      </c>
      <c r="M23" s="7" t="s">
        <v>73</v>
      </c>
    </row>
    <row r="24" spans="1:14">
      <c r="A24" s="7" t="s">
        <v>216</v>
      </c>
      <c r="B24" t="s">
        <v>103</v>
      </c>
      <c r="C24" s="7" t="s">
        <v>133</v>
      </c>
      <c r="D24" t="s">
        <v>224</v>
      </c>
      <c r="E24" t="s">
        <v>51</v>
      </c>
      <c r="F24" t="s">
        <v>98</v>
      </c>
      <c r="G24" t="s">
        <v>103</v>
      </c>
      <c r="H24" s="7" t="s">
        <v>78</v>
      </c>
      <c r="I24" s="7" t="s">
        <v>72</v>
      </c>
      <c r="J24" s="5">
        <v>1</v>
      </c>
      <c r="K24" s="5">
        <v>1</v>
      </c>
      <c r="L24" s="7" t="s">
        <v>73</v>
      </c>
      <c r="M24" s="7" t="s">
        <v>73</v>
      </c>
    </row>
    <row r="25" spans="1:14">
      <c r="A25" s="7" t="s">
        <v>18</v>
      </c>
      <c r="B25" s="7" t="s">
        <v>18</v>
      </c>
      <c r="C25" s="7" t="s">
        <v>115</v>
      </c>
      <c r="D25" s="7" t="s">
        <v>275</v>
      </c>
      <c r="F25" s="7" t="s">
        <v>36</v>
      </c>
      <c r="G25" s="7" t="s">
        <v>18</v>
      </c>
      <c r="H25" s="7" t="s">
        <v>71</v>
      </c>
      <c r="I25" s="7" t="s">
        <v>72</v>
      </c>
      <c r="J25" s="5">
        <v>1</v>
      </c>
      <c r="K25" s="5">
        <v>1</v>
      </c>
      <c r="L25" s="7" t="s">
        <v>73</v>
      </c>
      <c r="M25" s="7" t="s">
        <v>73</v>
      </c>
      <c r="N25" s="7" t="s">
        <v>116</v>
      </c>
    </row>
    <row r="26" spans="1:14">
      <c r="A26" s="7" t="s">
        <v>18</v>
      </c>
      <c r="B26" t="s">
        <v>18</v>
      </c>
      <c r="C26" s="7" t="s">
        <v>115</v>
      </c>
      <c r="D26" s="7" t="s">
        <v>275</v>
      </c>
      <c r="F26" t="s">
        <v>46</v>
      </c>
      <c r="G26" s="7" t="s">
        <v>18</v>
      </c>
      <c r="H26" s="7" t="s">
        <v>71</v>
      </c>
      <c r="I26" s="7" t="s">
        <v>72</v>
      </c>
      <c r="J26" s="5">
        <v>1</v>
      </c>
      <c r="K26" s="5">
        <v>1</v>
      </c>
      <c r="L26" s="7" t="s">
        <v>73</v>
      </c>
      <c r="M26" s="7" t="s">
        <v>73</v>
      </c>
    </row>
    <row r="27" spans="1:14">
      <c r="A27" s="7" t="s">
        <v>19</v>
      </c>
      <c r="B27" s="7" t="s">
        <v>19</v>
      </c>
      <c r="C27" s="7" t="s">
        <v>115</v>
      </c>
      <c r="D27" s="7" t="s">
        <v>276</v>
      </c>
      <c r="F27" s="7" t="s">
        <v>37</v>
      </c>
      <c r="G27" s="7" t="s">
        <v>19</v>
      </c>
      <c r="H27" s="7" t="s">
        <v>71</v>
      </c>
      <c r="I27" s="7" t="s">
        <v>72</v>
      </c>
      <c r="J27" s="5">
        <v>1</v>
      </c>
      <c r="K27" s="5">
        <v>1</v>
      </c>
      <c r="L27" s="7" t="s">
        <v>73</v>
      </c>
      <c r="M27" s="7" t="s">
        <v>73</v>
      </c>
      <c r="N27" s="7" t="s">
        <v>117</v>
      </c>
    </row>
    <row r="28" spans="1:14">
      <c r="A28" s="7" t="s">
        <v>19</v>
      </c>
      <c r="B28" s="7" t="s">
        <v>19</v>
      </c>
      <c r="C28" s="7" t="s">
        <v>115</v>
      </c>
      <c r="D28" s="7" t="s">
        <v>276</v>
      </c>
      <c r="F28" t="s">
        <v>47</v>
      </c>
      <c r="G28" s="7" t="s">
        <v>19</v>
      </c>
      <c r="H28" s="7" t="s">
        <v>71</v>
      </c>
      <c r="I28" s="7" t="s">
        <v>72</v>
      </c>
      <c r="J28" s="5">
        <v>1</v>
      </c>
      <c r="K28" s="5">
        <v>1</v>
      </c>
      <c r="L28" s="7" t="s">
        <v>73</v>
      </c>
      <c r="M28" s="7" t="s">
        <v>73</v>
      </c>
      <c r="N28" s="7" t="s">
        <v>117</v>
      </c>
    </row>
    <row r="29" spans="1:14">
      <c r="A29" t="s">
        <v>271</v>
      </c>
      <c r="B29" t="s">
        <v>271</v>
      </c>
      <c r="C29" s="7" t="s">
        <v>133</v>
      </c>
      <c r="D29" s="7" t="s">
        <v>275</v>
      </c>
      <c r="E29" t="s">
        <v>266</v>
      </c>
      <c r="F29" t="s">
        <v>273</v>
      </c>
      <c r="G29" t="s">
        <v>271</v>
      </c>
      <c r="H29" s="7" t="s">
        <v>71</v>
      </c>
      <c r="I29" s="7" t="s">
        <v>72</v>
      </c>
      <c r="J29" s="5">
        <v>1</v>
      </c>
      <c r="K29" s="5">
        <v>1</v>
      </c>
      <c r="L29" s="7" t="s">
        <v>73</v>
      </c>
      <c r="M29" s="7" t="s">
        <v>73</v>
      </c>
    </row>
    <row r="30" spans="1:14">
      <c r="A30" t="s">
        <v>261</v>
      </c>
      <c r="B30" t="s">
        <v>261</v>
      </c>
      <c r="C30" s="7" t="s">
        <v>133</v>
      </c>
      <c r="D30" s="7" t="s">
        <v>275</v>
      </c>
      <c r="E30" t="s">
        <v>210</v>
      </c>
      <c r="F30" t="s">
        <v>38</v>
      </c>
      <c r="G30" t="s">
        <v>261</v>
      </c>
      <c r="H30" s="7" t="s">
        <v>71</v>
      </c>
      <c r="I30" s="7" t="s">
        <v>72</v>
      </c>
      <c r="J30" s="5">
        <v>1</v>
      </c>
      <c r="K30" s="5">
        <v>1</v>
      </c>
      <c r="L30" s="7" t="s">
        <v>73</v>
      </c>
      <c r="M30" s="7" t="s">
        <v>73</v>
      </c>
    </row>
    <row r="31" spans="1:14">
      <c r="A31" t="s">
        <v>210</v>
      </c>
      <c r="B31" t="s">
        <v>210</v>
      </c>
      <c r="C31" s="7" t="s">
        <v>69</v>
      </c>
      <c r="D31" s="7" t="s">
        <v>70</v>
      </c>
      <c r="E31" s="7"/>
      <c r="F31" s="7" t="s">
        <v>212</v>
      </c>
      <c r="G31" t="s">
        <v>210</v>
      </c>
      <c r="H31" s="7" t="s">
        <v>71</v>
      </c>
      <c r="I31" s="7" t="s">
        <v>72</v>
      </c>
      <c r="J31" s="5">
        <v>1</v>
      </c>
      <c r="K31" s="5">
        <v>1</v>
      </c>
      <c r="L31" s="7" t="s">
        <v>73</v>
      </c>
      <c r="M31" s="7" t="s">
        <v>73</v>
      </c>
      <c r="N31" s="7" t="s">
        <v>74</v>
      </c>
    </row>
    <row r="32" spans="1:14">
      <c r="A32" t="s">
        <v>266</v>
      </c>
      <c r="B32" t="s">
        <v>266</v>
      </c>
      <c r="C32" s="7" t="s">
        <v>133</v>
      </c>
      <c r="D32" s="7" t="s">
        <v>270</v>
      </c>
      <c r="F32" t="s">
        <v>155</v>
      </c>
      <c r="G32" t="s">
        <v>266</v>
      </c>
      <c r="H32" s="7" t="s">
        <v>71</v>
      </c>
      <c r="I32" s="7" t="s">
        <v>72</v>
      </c>
      <c r="J32" s="5">
        <v>1</v>
      </c>
      <c r="K32" s="5">
        <v>1</v>
      </c>
      <c r="L32" s="7" t="s">
        <v>73</v>
      </c>
      <c r="M32" s="7" t="s">
        <v>73</v>
      </c>
    </row>
    <row r="33" spans="1:14">
      <c r="A33" t="s">
        <v>272</v>
      </c>
      <c r="B33" t="s">
        <v>272</v>
      </c>
      <c r="C33" s="7" t="s">
        <v>133</v>
      </c>
      <c r="D33" s="7" t="s">
        <v>276</v>
      </c>
      <c r="E33" t="s">
        <v>267</v>
      </c>
      <c r="F33" t="s">
        <v>274</v>
      </c>
      <c r="G33" t="s">
        <v>272</v>
      </c>
      <c r="H33" s="7" t="s">
        <v>71</v>
      </c>
      <c r="I33" s="7" t="s">
        <v>72</v>
      </c>
      <c r="J33" s="5">
        <v>1</v>
      </c>
      <c r="K33" s="5">
        <v>1</v>
      </c>
      <c r="L33" s="7" t="s">
        <v>73</v>
      </c>
      <c r="M33" s="7" t="s">
        <v>73</v>
      </c>
    </row>
    <row r="34" spans="1:14">
      <c r="A34" t="s">
        <v>211</v>
      </c>
      <c r="B34" t="s">
        <v>211</v>
      </c>
      <c r="C34" s="7" t="s">
        <v>69</v>
      </c>
      <c r="D34" s="7" t="s">
        <v>70</v>
      </c>
      <c r="E34" s="7"/>
      <c r="F34" s="7" t="s">
        <v>213</v>
      </c>
      <c r="G34" t="s">
        <v>211</v>
      </c>
      <c r="H34" s="7" t="s">
        <v>71</v>
      </c>
      <c r="I34" s="7" t="s">
        <v>72</v>
      </c>
      <c r="J34" s="5">
        <v>1</v>
      </c>
      <c r="K34" s="5">
        <v>1</v>
      </c>
      <c r="L34" s="7" t="s">
        <v>73</v>
      </c>
      <c r="M34" s="7" t="s">
        <v>73</v>
      </c>
      <c r="N34" s="7" t="s">
        <v>74</v>
      </c>
    </row>
    <row r="35" spans="1:14">
      <c r="A35" t="s">
        <v>277</v>
      </c>
      <c r="B35" t="s">
        <v>277</v>
      </c>
      <c r="C35" s="7" t="s">
        <v>133</v>
      </c>
      <c r="D35" s="7" t="s">
        <v>276</v>
      </c>
      <c r="E35" t="s">
        <v>211</v>
      </c>
      <c r="F35" t="s">
        <v>279</v>
      </c>
      <c r="G35" t="s">
        <v>277</v>
      </c>
      <c r="H35" s="7" t="s">
        <v>71</v>
      </c>
      <c r="I35" s="7" t="s">
        <v>72</v>
      </c>
      <c r="J35" s="5">
        <v>1</v>
      </c>
      <c r="K35" s="5">
        <v>1</v>
      </c>
      <c r="L35" s="7" t="s">
        <v>73</v>
      </c>
      <c r="M35" s="7" t="s">
        <v>73</v>
      </c>
    </row>
    <row r="36" spans="1:14">
      <c r="A36" t="s">
        <v>267</v>
      </c>
      <c r="B36" t="s">
        <v>267</v>
      </c>
      <c r="C36" s="7" t="s">
        <v>133</v>
      </c>
      <c r="D36" s="7" t="s">
        <v>270</v>
      </c>
      <c r="F36" t="s">
        <v>269</v>
      </c>
      <c r="G36" t="s">
        <v>267</v>
      </c>
      <c r="H36" s="7" t="s">
        <v>71</v>
      </c>
      <c r="I36" s="7" t="s">
        <v>72</v>
      </c>
      <c r="J36" s="5">
        <v>1</v>
      </c>
      <c r="K36" s="5">
        <v>1</v>
      </c>
      <c r="L36" s="7" t="s">
        <v>73</v>
      </c>
      <c r="M36" s="7" t="s">
        <v>73</v>
      </c>
    </row>
    <row r="37" spans="1:14">
      <c r="A37" t="s">
        <v>207</v>
      </c>
      <c r="B37" t="s">
        <v>207</v>
      </c>
      <c r="C37" s="7" t="s">
        <v>69</v>
      </c>
      <c r="D37" t="s">
        <v>224</v>
      </c>
      <c r="F37" t="s">
        <v>209</v>
      </c>
      <c r="G37" t="s">
        <v>207</v>
      </c>
      <c r="H37" s="7" t="s">
        <v>71</v>
      </c>
      <c r="I37" s="7" t="s">
        <v>72</v>
      </c>
      <c r="J37" s="5">
        <v>1</v>
      </c>
      <c r="K37" s="5">
        <v>1</v>
      </c>
      <c r="L37" s="7" t="s">
        <v>73</v>
      </c>
      <c r="M37" s="7" t="s">
        <v>73</v>
      </c>
    </row>
    <row r="38" spans="1:14" ht="33">
      <c r="A38" s="7" t="s">
        <v>81</v>
      </c>
      <c r="B38" s="7" t="s">
        <v>81</v>
      </c>
      <c r="C38" s="7" t="s">
        <v>69</v>
      </c>
      <c r="D38" t="s">
        <v>224</v>
      </c>
      <c r="E38" s="7"/>
      <c r="F38" s="7" t="s">
        <v>152</v>
      </c>
      <c r="G38" s="7" t="s">
        <v>81</v>
      </c>
      <c r="H38" s="7" t="s">
        <v>71</v>
      </c>
      <c r="I38" s="7" t="s">
        <v>72</v>
      </c>
      <c r="J38" s="5">
        <v>1</v>
      </c>
      <c r="K38" s="5">
        <v>1.2</v>
      </c>
      <c r="L38" s="7" t="s">
        <v>73</v>
      </c>
      <c r="M38" s="7" t="s">
        <v>73</v>
      </c>
      <c r="N38" s="7" t="s">
        <v>82</v>
      </c>
    </row>
    <row r="39" spans="1:14">
      <c r="A39" s="7" t="s">
        <v>253</v>
      </c>
      <c r="B39" t="s">
        <v>105</v>
      </c>
      <c r="C39" s="7" t="s">
        <v>133</v>
      </c>
      <c r="D39" s="7" t="s">
        <v>275</v>
      </c>
      <c r="E39" t="s">
        <v>40</v>
      </c>
      <c r="F39" t="s">
        <v>106</v>
      </c>
      <c r="G39" t="s">
        <v>105</v>
      </c>
      <c r="H39" s="7" t="s">
        <v>71</v>
      </c>
      <c r="I39" s="7" t="s">
        <v>72</v>
      </c>
      <c r="J39" s="5">
        <v>1</v>
      </c>
      <c r="K39" s="5">
        <v>1</v>
      </c>
      <c r="L39" s="7" t="s">
        <v>73</v>
      </c>
      <c r="M39" s="7" t="s">
        <v>73</v>
      </c>
    </row>
    <row r="40" spans="1:14">
      <c r="A40" t="s">
        <v>112</v>
      </c>
      <c r="B40" t="s">
        <v>286</v>
      </c>
      <c r="C40" s="7" t="s">
        <v>133</v>
      </c>
      <c r="D40" t="s">
        <v>121</v>
      </c>
      <c r="F40" t="s">
        <v>113</v>
      </c>
      <c r="G40" t="s">
        <v>286</v>
      </c>
      <c r="H40" s="7" t="s">
        <v>71</v>
      </c>
      <c r="I40" s="7" t="s">
        <v>72</v>
      </c>
      <c r="J40" s="5">
        <v>1</v>
      </c>
      <c r="K40" s="5">
        <v>1</v>
      </c>
      <c r="L40" s="7" t="s">
        <v>73</v>
      </c>
      <c r="M40" s="7" t="s">
        <v>73</v>
      </c>
    </row>
    <row r="41" spans="1:14">
      <c r="A41" t="s">
        <v>111</v>
      </c>
      <c r="B41" t="s">
        <v>287</v>
      </c>
      <c r="C41" s="7" t="s">
        <v>133</v>
      </c>
      <c r="D41" t="s">
        <v>122</v>
      </c>
      <c r="F41" t="s">
        <v>85</v>
      </c>
      <c r="G41" t="s">
        <v>287</v>
      </c>
      <c r="H41" s="7" t="s">
        <v>71</v>
      </c>
      <c r="I41" s="7" t="s">
        <v>72</v>
      </c>
      <c r="J41" s="5">
        <v>1</v>
      </c>
      <c r="K41" s="5">
        <v>1</v>
      </c>
      <c r="L41" s="7" t="s">
        <v>73</v>
      </c>
      <c r="M41" s="7" t="s">
        <v>73</v>
      </c>
    </row>
  </sheetData>
  <autoFilter ref="A1:N1" xr:uid="{7F1ABE24-5C3E-4DE8-8A19-1E2068143774}">
    <sortState xmlns:xlrd2="http://schemas.microsoft.com/office/spreadsheetml/2017/richdata2" ref="A2:N68">
      <sortCondition ref="B1"/>
    </sortState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2448-7415-45FD-9134-B8C54D9873A6}">
  <dimension ref="A1:E13"/>
  <sheetViews>
    <sheetView workbookViewId="0">
      <selection activeCell="E14" sqref="E14"/>
    </sheetView>
  </sheetViews>
  <sheetFormatPr defaultRowHeight="16.5"/>
  <cols>
    <col min="1" max="2" width="27.75" customWidth="1"/>
    <col min="3" max="3" width="20" customWidth="1"/>
    <col min="4" max="4" width="14.625" customWidth="1"/>
  </cols>
  <sheetData>
    <row r="1" spans="1:5">
      <c r="A1" t="s">
        <v>244</v>
      </c>
      <c r="B1" t="s">
        <v>249</v>
      </c>
      <c r="C1" t="s">
        <v>245</v>
      </c>
      <c r="D1" t="s">
        <v>250</v>
      </c>
      <c r="E1" t="s">
        <v>252</v>
      </c>
    </row>
    <row r="2" spans="1:5">
      <c r="A2" t="s">
        <v>40</v>
      </c>
      <c r="B2">
        <v>999</v>
      </c>
      <c r="C2" t="s">
        <v>242</v>
      </c>
      <c r="D2">
        <v>624</v>
      </c>
      <c r="E2" t="s">
        <v>254</v>
      </c>
    </row>
    <row r="3" spans="1:5">
      <c r="A3" t="s">
        <v>40</v>
      </c>
      <c r="B3">
        <v>999</v>
      </c>
      <c r="C3" t="s">
        <v>251</v>
      </c>
      <c r="D3">
        <v>793</v>
      </c>
      <c r="E3" t="s">
        <v>254</v>
      </c>
    </row>
    <row r="4" spans="1:5">
      <c r="A4" t="s">
        <v>51</v>
      </c>
      <c r="B4">
        <v>842</v>
      </c>
      <c r="C4" t="s">
        <v>242</v>
      </c>
      <c r="D4">
        <v>624</v>
      </c>
      <c r="E4" t="s">
        <v>254</v>
      </c>
    </row>
    <row r="5" spans="1:5">
      <c r="A5" t="s">
        <v>210</v>
      </c>
      <c r="B5">
        <v>825</v>
      </c>
      <c r="C5" t="s">
        <v>114</v>
      </c>
      <c r="D5">
        <v>580</v>
      </c>
      <c r="E5" t="s">
        <v>254</v>
      </c>
    </row>
    <row r="6" spans="1:5">
      <c r="A6" t="s">
        <v>215</v>
      </c>
      <c r="B6">
        <v>638</v>
      </c>
      <c r="C6" t="s">
        <v>101</v>
      </c>
      <c r="D6">
        <v>432</v>
      </c>
      <c r="E6" t="s">
        <v>254</v>
      </c>
    </row>
    <row r="7" spans="1:5">
      <c r="A7" t="s">
        <v>48</v>
      </c>
      <c r="B7">
        <v>638</v>
      </c>
      <c r="C7" t="s">
        <v>102</v>
      </c>
      <c r="D7">
        <v>402</v>
      </c>
      <c r="E7" t="s">
        <v>254</v>
      </c>
    </row>
    <row r="8" spans="1:5">
      <c r="A8" t="s">
        <v>50</v>
      </c>
      <c r="B8">
        <v>812</v>
      </c>
      <c r="C8" t="s">
        <v>100</v>
      </c>
      <c r="D8">
        <v>402</v>
      </c>
      <c r="E8" t="s">
        <v>254</v>
      </c>
    </row>
    <row r="9" spans="1:5">
      <c r="A9" t="s">
        <v>51</v>
      </c>
      <c r="B9">
        <v>812</v>
      </c>
      <c r="C9" t="s">
        <v>103</v>
      </c>
      <c r="D9">
        <v>606</v>
      </c>
      <c r="E9" t="s">
        <v>254</v>
      </c>
    </row>
    <row r="10" spans="1:5">
      <c r="A10" t="s">
        <v>88</v>
      </c>
      <c r="B10">
        <v>638</v>
      </c>
      <c r="C10" t="s">
        <v>90</v>
      </c>
      <c r="D10">
        <v>228</v>
      </c>
      <c r="E10" t="s">
        <v>254</v>
      </c>
    </row>
    <row r="11" spans="1:5">
      <c r="A11" t="s">
        <v>92</v>
      </c>
      <c r="B11">
        <v>638</v>
      </c>
      <c r="C11" t="s">
        <v>93</v>
      </c>
      <c r="D11">
        <v>606</v>
      </c>
      <c r="E11" t="s">
        <v>254</v>
      </c>
    </row>
    <row r="12" spans="1:5">
      <c r="A12" t="s">
        <v>266</v>
      </c>
      <c r="B12">
        <v>866</v>
      </c>
      <c r="C12" t="s">
        <v>271</v>
      </c>
      <c r="D12">
        <v>621</v>
      </c>
      <c r="E12" t="s">
        <v>254</v>
      </c>
    </row>
    <row r="13" spans="1:5">
      <c r="A13" t="s">
        <v>267</v>
      </c>
      <c r="B13">
        <v>896</v>
      </c>
      <c r="C13" t="s">
        <v>272</v>
      </c>
      <c r="D13">
        <v>651</v>
      </c>
      <c r="E13" t="s">
        <v>254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D4FB-A849-439C-802C-83D42FDCE3EA}">
  <dimension ref="A1:C40"/>
  <sheetViews>
    <sheetView workbookViewId="0">
      <selection activeCell="G22" sqref="G22"/>
    </sheetView>
  </sheetViews>
  <sheetFormatPr defaultRowHeight="16.5"/>
  <cols>
    <col min="1" max="1" width="30.25" customWidth="1"/>
    <col min="2" max="2" width="29.75" customWidth="1"/>
  </cols>
  <sheetData>
    <row r="1" spans="1:3" s="8" customFormat="1">
      <c r="A1" s="11" t="s">
        <v>120</v>
      </c>
      <c r="B1" s="10" t="s">
        <v>203</v>
      </c>
      <c r="C1" s="8" t="s">
        <v>68</v>
      </c>
    </row>
    <row r="2" spans="1:3">
      <c r="A2" t="s">
        <v>227</v>
      </c>
      <c r="B2" t="s">
        <v>88</v>
      </c>
    </row>
    <row r="3" spans="1:3">
      <c r="A3" t="s">
        <v>227</v>
      </c>
      <c r="B3" t="s">
        <v>92</v>
      </c>
    </row>
    <row r="4" spans="1:3">
      <c r="A4" t="s">
        <v>214</v>
      </c>
      <c r="B4" t="s">
        <v>88</v>
      </c>
    </row>
    <row r="5" spans="1:3">
      <c r="A5" t="s">
        <v>214</v>
      </c>
      <c r="B5" t="s">
        <v>92</v>
      </c>
    </row>
    <row r="6" spans="1:3">
      <c r="A6" t="s">
        <v>214</v>
      </c>
      <c r="B6" t="s">
        <v>48</v>
      </c>
    </row>
    <row r="7" spans="1:3">
      <c r="A7" t="s">
        <v>214</v>
      </c>
      <c r="B7" t="s">
        <v>50</v>
      </c>
    </row>
    <row r="8" spans="1:3">
      <c r="A8" t="s">
        <v>214</v>
      </c>
      <c r="B8" t="s">
        <v>215</v>
      </c>
    </row>
    <row r="9" spans="1:3">
      <c r="A9" t="s">
        <v>214</v>
      </c>
      <c r="B9" t="s">
        <v>51</v>
      </c>
    </row>
    <row r="10" spans="1:3">
      <c r="A10" t="s">
        <v>214</v>
      </c>
      <c r="B10" t="s">
        <v>207</v>
      </c>
    </row>
    <row r="11" spans="1:3">
      <c r="A11" t="s">
        <v>214</v>
      </c>
      <c r="B11" t="s">
        <v>40</v>
      </c>
    </row>
    <row r="12" spans="1:3">
      <c r="A12" t="s">
        <v>214</v>
      </c>
      <c r="B12" t="s">
        <v>232</v>
      </c>
    </row>
    <row r="13" spans="1:3">
      <c r="A13" t="s">
        <v>214</v>
      </c>
      <c r="B13" t="s">
        <v>231</v>
      </c>
    </row>
    <row r="14" spans="1:3">
      <c r="A14" t="s">
        <v>121</v>
      </c>
      <c r="B14" t="s">
        <v>286</v>
      </c>
      <c r="C14" t="s">
        <v>123</v>
      </c>
    </row>
    <row r="15" spans="1:3">
      <c r="A15" t="s">
        <v>122</v>
      </c>
      <c r="B15" t="s">
        <v>287</v>
      </c>
      <c r="C15" t="s">
        <v>124</v>
      </c>
    </row>
    <row r="16" spans="1:3">
      <c r="A16" t="s">
        <v>224</v>
      </c>
      <c r="B16" t="s">
        <v>48</v>
      </c>
    </row>
    <row r="17" spans="1:3">
      <c r="A17" t="s">
        <v>224</v>
      </c>
      <c r="B17" t="s">
        <v>50</v>
      </c>
    </row>
    <row r="18" spans="1:3">
      <c r="A18" t="s">
        <v>224</v>
      </c>
      <c r="B18" t="s">
        <v>215</v>
      </c>
    </row>
    <row r="19" spans="1:3">
      <c r="A19" t="s">
        <v>224</v>
      </c>
      <c r="B19" t="s">
        <v>51</v>
      </c>
    </row>
    <row r="20" spans="1:3">
      <c r="A20" t="s">
        <v>224</v>
      </c>
      <c r="B20" t="s">
        <v>232</v>
      </c>
    </row>
    <row r="21" spans="1:3">
      <c r="A21" t="s">
        <v>224</v>
      </c>
      <c r="B21" t="s">
        <v>231</v>
      </c>
    </row>
    <row r="22" spans="1:3">
      <c r="A22" t="s">
        <v>224</v>
      </c>
      <c r="B22" t="s">
        <v>207</v>
      </c>
    </row>
    <row r="23" spans="1:3">
      <c r="A23" t="s">
        <v>224</v>
      </c>
      <c r="B23" t="s">
        <v>40</v>
      </c>
    </row>
    <row r="24" spans="1:3">
      <c r="A24" s="7" t="s">
        <v>275</v>
      </c>
      <c r="B24" t="s">
        <v>18</v>
      </c>
    </row>
    <row r="25" spans="1:3">
      <c r="A25" s="7" t="s">
        <v>275</v>
      </c>
      <c r="B25" t="s">
        <v>207</v>
      </c>
    </row>
    <row r="26" spans="1:3">
      <c r="A26" s="7" t="s">
        <v>275</v>
      </c>
      <c r="B26" t="s">
        <v>40</v>
      </c>
    </row>
    <row r="27" spans="1:3">
      <c r="A27" s="7" t="s">
        <v>275</v>
      </c>
      <c r="B27" t="s">
        <v>210</v>
      </c>
    </row>
    <row r="28" spans="1:3">
      <c r="A28" s="7" t="s">
        <v>276</v>
      </c>
      <c r="B28" t="s">
        <v>19</v>
      </c>
    </row>
    <row r="29" spans="1:3">
      <c r="A29" s="7" t="s">
        <v>276</v>
      </c>
      <c r="B29" t="s">
        <v>232</v>
      </c>
      <c r="C29" t="s">
        <v>283</v>
      </c>
    </row>
    <row r="30" spans="1:3">
      <c r="A30" s="7" t="s">
        <v>276</v>
      </c>
      <c r="B30" t="s">
        <v>231</v>
      </c>
      <c r="C30" t="s">
        <v>283</v>
      </c>
    </row>
    <row r="31" spans="1:3">
      <c r="A31" s="7" t="s">
        <v>276</v>
      </c>
      <c r="B31" t="s">
        <v>211</v>
      </c>
    </row>
    <row r="32" spans="1:3">
      <c r="A32" t="s">
        <v>121</v>
      </c>
      <c r="B32" t="s">
        <v>88</v>
      </c>
      <c r="C32" t="s">
        <v>125</v>
      </c>
    </row>
    <row r="33" spans="1:3">
      <c r="A33" t="s">
        <v>121</v>
      </c>
      <c r="B33" t="s">
        <v>48</v>
      </c>
      <c r="C33" t="s">
        <v>127</v>
      </c>
    </row>
    <row r="34" spans="1:3">
      <c r="A34" t="s">
        <v>121</v>
      </c>
      <c r="B34" t="s">
        <v>50</v>
      </c>
    </row>
    <row r="35" spans="1:3">
      <c r="A35" t="s">
        <v>122</v>
      </c>
      <c r="B35" t="s">
        <v>92</v>
      </c>
      <c r="C35" t="s">
        <v>126</v>
      </c>
    </row>
    <row r="36" spans="1:3">
      <c r="A36" t="s">
        <v>122</v>
      </c>
      <c r="B36" t="s">
        <v>215</v>
      </c>
      <c r="C36" t="s">
        <v>128</v>
      </c>
    </row>
    <row r="37" spans="1:3">
      <c r="A37" t="s">
        <v>122</v>
      </c>
      <c r="B37" t="s">
        <v>51</v>
      </c>
    </row>
    <row r="38" spans="1:3">
      <c r="A38" s="7" t="s">
        <v>282</v>
      </c>
      <c r="B38" t="s">
        <v>265</v>
      </c>
      <c r="C38" t="s">
        <v>119</v>
      </c>
    </row>
    <row r="39" spans="1:3">
      <c r="A39" s="7" t="s">
        <v>282</v>
      </c>
      <c r="B39" t="s">
        <v>266</v>
      </c>
    </row>
    <row r="40" spans="1:3">
      <c r="A40" s="7" t="s">
        <v>282</v>
      </c>
      <c r="B40" t="s">
        <v>267</v>
      </c>
    </row>
  </sheetData>
  <autoFilter ref="A1:C1" xr:uid="{ABF9D4FB-A849-439C-802C-83D42FDCE3EA}">
    <sortState xmlns:xlrd2="http://schemas.microsoft.com/office/spreadsheetml/2017/richdata2" ref="A2:C43">
      <sortCondition ref="A1"/>
    </sortState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704D-1C77-4D59-8D26-9661CE1C946E}">
  <dimension ref="A1:F12"/>
  <sheetViews>
    <sheetView tabSelected="1" workbookViewId="0">
      <selection activeCell="F10" sqref="F10"/>
    </sheetView>
  </sheetViews>
  <sheetFormatPr defaultRowHeight="16.5"/>
  <cols>
    <col min="1" max="1" width="37.375" customWidth="1"/>
    <col min="2" max="2" width="21.625" customWidth="1"/>
    <col min="3" max="3" width="13.375" customWidth="1"/>
    <col min="4" max="4" width="17.25" customWidth="1"/>
    <col min="5" max="5" width="15.125" customWidth="1"/>
    <col min="6" max="6" width="18.375" customWidth="1"/>
  </cols>
  <sheetData>
    <row r="1" spans="1:6" ht="33">
      <c r="A1" s="4" t="s">
        <v>169</v>
      </c>
      <c r="B1" s="4" t="s">
        <v>170</v>
      </c>
      <c r="C1" s="6" t="s">
        <v>171</v>
      </c>
      <c r="D1" s="9" t="s">
        <v>202</v>
      </c>
      <c r="E1" s="6" t="s">
        <v>168</v>
      </c>
      <c r="F1" s="4" t="s">
        <v>68</v>
      </c>
    </row>
    <row r="2" spans="1:6" ht="33">
      <c r="A2" s="7" t="s">
        <v>172</v>
      </c>
      <c r="B2" s="7" t="s">
        <v>173</v>
      </c>
      <c r="C2" s="5">
        <v>0</v>
      </c>
      <c r="D2" t="s">
        <v>210</v>
      </c>
      <c r="E2" s="5">
        <v>0.2</v>
      </c>
      <c r="F2" s="7" t="s">
        <v>174</v>
      </c>
    </row>
    <row r="3" spans="1:6">
      <c r="A3" s="7" t="s">
        <v>172</v>
      </c>
      <c r="B3" s="7" t="s">
        <v>173</v>
      </c>
      <c r="C3" s="5">
        <v>0</v>
      </c>
      <c r="D3" s="7" t="s">
        <v>81</v>
      </c>
      <c r="E3" s="5">
        <v>0.2</v>
      </c>
      <c r="F3" s="7" t="s">
        <v>175</v>
      </c>
    </row>
    <row r="4" spans="1:6" ht="49.5">
      <c r="A4" s="7" t="s">
        <v>172</v>
      </c>
      <c r="B4" s="7" t="s">
        <v>173</v>
      </c>
      <c r="C4" s="5">
        <v>0</v>
      </c>
      <c r="D4" s="7" t="s">
        <v>18</v>
      </c>
      <c r="E4" s="5">
        <v>0.25</v>
      </c>
      <c r="F4" s="7" t="s">
        <v>176</v>
      </c>
    </row>
    <row r="5" spans="1:6" ht="33">
      <c r="A5" s="7" t="s">
        <v>172</v>
      </c>
      <c r="B5" s="7" t="s">
        <v>173</v>
      </c>
      <c r="C5" s="5">
        <v>0</v>
      </c>
      <c r="D5" s="7" t="s">
        <v>19</v>
      </c>
      <c r="E5" s="5">
        <v>0.25</v>
      </c>
      <c r="F5" s="7" t="s">
        <v>177</v>
      </c>
    </row>
    <row r="6" spans="1:6" ht="33">
      <c r="A6" s="7" t="s">
        <v>178</v>
      </c>
      <c r="B6" s="7" t="s">
        <v>179</v>
      </c>
      <c r="C6" t="s">
        <v>180</v>
      </c>
      <c r="D6" t="s">
        <v>210</v>
      </c>
      <c r="E6" s="5">
        <v>0.05</v>
      </c>
      <c r="F6" s="7" t="s">
        <v>181</v>
      </c>
    </row>
    <row r="7" spans="1:6" ht="49.5">
      <c r="A7" s="7" t="s">
        <v>223</v>
      </c>
      <c r="B7" s="7" t="s">
        <v>222</v>
      </c>
      <c r="C7" s="5">
        <v>0</v>
      </c>
      <c r="D7" t="s">
        <v>224</v>
      </c>
      <c r="E7" s="5">
        <v>0.2</v>
      </c>
      <c r="F7" s="7" t="s">
        <v>225</v>
      </c>
    </row>
    <row r="8" spans="1:6" ht="33">
      <c r="A8" s="7" t="s">
        <v>236</v>
      </c>
      <c r="B8" s="7" t="s">
        <v>239</v>
      </c>
      <c r="C8" s="5">
        <v>0</v>
      </c>
      <c r="D8" t="s">
        <v>211</v>
      </c>
      <c r="E8" s="5">
        <v>0.2</v>
      </c>
      <c r="F8" s="7" t="s">
        <v>174</v>
      </c>
    </row>
    <row r="9" spans="1:6" ht="33">
      <c r="A9" s="7" t="s">
        <v>236</v>
      </c>
      <c r="B9" s="7" t="s">
        <v>239</v>
      </c>
      <c r="C9" s="5">
        <v>0</v>
      </c>
      <c r="D9" t="s">
        <v>231</v>
      </c>
      <c r="E9" s="5">
        <v>0.2</v>
      </c>
      <c r="F9" s="7" t="s">
        <v>288</v>
      </c>
    </row>
    <row r="10" spans="1:6" ht="49.5">
      <c r="A10" s="7" t="s">
        <v>236</v>
      </c>
      <c r="B10" s="7" t="s">
        <v>239</v>
      </c>
      <c r="C10" s="5">
        <v>0</v>
      </c>
      <c r="D10" s="7" t="s">
        <v>19</v>
      </c>
      <c r="E10" s="5">
        <v>0.25</v>
      </c>
      <c r="F10" s="7" t="s">
        <v>237</v>
      </c>
    </row>
    <row r="11" spans="1:6" ht="33">
      <c r="A11" s="7" t="s">
        <v>236</v>
      </c>
      <c r="B11" s="7" t="s">
        <v>239</v>
      </c>
      <c r="C11" s="5">
        <v>0</v>
      </c>
      <c r="D11" s="7" t="s">
        <v>18</v>
      </c>
      <c r="E11" s="5">
        <v>0.25</v>
      </c>
      <c r="F11" s="7" t="s">
        <v>238</v>
      </c>
    </row>
    <row r="12" spans="1:6" ht="33">
      <c r="A12" s="7" t="s">
        <v>240</v>
      </c>
      <c r="B12" s="7" t="s">
        <v>239</v>
      </c>
      <c r="C12" t="s">
        <v>180</v>
      </c>
      <c r="D12" t="s">
        <v>211</v>
      </c>
      <c r="E12" s="5">
        <v>0.05</v>
      </c>
      <c r="F12" s="7" t="s">
        <v>181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B5F3-E05E-4A4A-8E90-F419DB4B142E}">
  <dimension ref="A1:D7"/>
  <sheetViews>
    <sheetView workbookViewId="0">
      <selection activeCell="B5" sqref="B5"/>
    </sheetView>
  </sheetViews>
  <sheetFormatPr defaultRowHeight="16.5"/>
  <cols>
    <col min="1" max="1" width="28.5" customWidth="1"/>
    <col min="2" max="2" width="18.5" customWidth="1"/>
    <col min="3" max="3" width="17.625" customWidth="1"/>
    <col min="4" max="4" width="16.125" customWidth="1"/>
  </cols>
  <sheetData>
    <row r="1" spans="1:4" ht="33">
      <c r="A1" s="4" t="s">
        <v>129</v>
      </c>
      <c r="B1" s="9" t="s">
        <v>165</v>
      </c>
      <c r="C1" s="4" t="s">
        <v>130</v>
      </c>
      <c r="D1" s="4" t="s">
        <v>131</v>
      </c>
    </row>
    <row r="2" spans="1:4">
      <c r="A2" s="7" t="s">
        <v>235</v>
      </c>
      <c r="B2" s="7" t="s">
        <v>227</v>
      </c>
      <c r="C2" s="7" t="s">
        <v>132</v>
      </c>
      <c r="D2" s="7" t="b">
        <v>1</v>
      </c>
    </row>
    <row r="3" spans="1:4">
      <c r="A3" s="7" t="s">
        <v>134</v>
      </c>
      <c r="B3" s="7" t="s">
        <v>224</v>
      </c>
      <c r="C3" s="7" t="s">
        <v>132</v>
      </c>
      <c r="D3" s="7" t="b">
        <v>1</v>
      </c>
    </row>
    <row r="4" spans="1:4">
      <c r="A4" s="7" t="s">
        <v>205</v>
      </c>
      <c r="B4" s="7" t="s">
        <v>275</v>
      </c>
      <c r="C4" s="7" t="s">
        <v>206</v>
      </c>
      <c r="D4" s="7" t="b">
        <v>1</v>
      </c>
    </row>
    <row r="5" spans="1:4">
      <c r="A5" s="7" t="s">
        <v>226</v>
      </c>
      <c r="B5" s="7" t="s">
        <v>276</v>
      </c>
      <c r="C5" s="7" t="s">
        <v>206</v>
      </c>
      <c r="D5" s="7" t="b">
        <v>1</v>
      </c>
    </row>
    <row r="6" spans="1:4">
      <c r="A6" s="7" t="s">
        <v>258</v>
      </c>
      <c r="B6" s="7" t="s">
        <v>282</v>
      </c>
      <c r="C6" s="7" t="s">
        <v>206</v>
      </c>
      <c r="D6" s="7" t="b">
        <v>1</v>
      </c>
    </row>
    <row r="7" spans="1:4">
      <c r="A7" s="7" t="s">
        <v>259</v>
      </c>
      <c r="B7" t="s">
        <v>214</v>
      </c>
      <c r="C7" s="7" t="s">
        <v>206</v>
      </c>
      <c r="D7" s="7" t="b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EBB2-34E0-4481-84B9-7306B7D8AE24}">
  <dimension ref="A1:D3"/>
  <sheetViews>
    <sheetView workbookViewId="0">
      <selection activeCell="C7" sqref="C7"/>
    </sheetView>
  </sheetViews>
  <sheetFormatPr defaultRowHeight="16.5"/>
  <cols>
    <col min="1" max="1" width="32.125" customWidth="1"/>
    <col min="2" max="2" width="23.75" customWidth="1"/>
  </cols>
  <sheetData>
    <row r="1" spans="1:4" ht="49.5">
      <c r="A1" s="4" t="s">
        <v>129</v>
      </c>
      <c r="B1" s="9" t="s">
        <v>165</v>
      </c>
      <c r="C1" s="4" t="s">
        <v>130</v>
      </c>
      <c r="D1" s="4" t="s">
        <v>131</v>
      </c>
    </row>
    <row r="2" spans="1:4">
      <c r="A2" s="7" t="s">
        <v>228</v>
      </c>
      <c r="B2" s="7" t="s">
        <v>275</v>
      </c>
      <c r="C2" s="7" t="s">
        <v>229</v>
      </c>
      <c r="D2" s="7" t="b">
        <v>1</v>
      </c>
    </row>
    <row r="3" spans="1:4">
      <c r="A3" s="7" t="s">
        <v>230</v>
      </c>
      <c r="B3" s="7" t="s">
        <v>276</v>
      </c>
      <c r="C3" s="7" t="s">
        <v>229</v>
      </c>
      <c r="D3" s="7" t="b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6A72-925A-4A4A-A09A-2633AF6FFB39}">
  <dimension ref="A1:O11"/>
  <sheetViews>
    <sheetView workbookViewId="0">
      <selection activeCell="B11" sqref="B11"/>
    </sheetView>
  </sheetViews>
  <sheetFormatPr defaultRowHeight="16.5"/>
  <cols>
    <col min="1" max="1" width="36.25" customWidth="1"/>
    <col min="2" max="2" width="16.875" customWidth="1"/>
    <col min="3" max="3" width="36.25" customWidth="1"/>
    <col min="4" max="4" width="13.375" customWidth="1"/>
    <col min="5" max="5" width="30.375" customWidth="1"/>
    <col min="6" max="6" width="11.375" customWidth="1"/>
    <col min="7" max="7" width="8.875" customWidth="1"/>
    <col min="8" max="8" width="18.875" customWidth="1"/>
    <col min="10" max="10" width="12.375" customWidth="1"/>
    <col min="11" max="11" width="17.75" customWidth="1"/>
    <col min="13" max="13" width="12.875" customWidth="1"/>
    <col min="14" max="14" width="29.5" customWidth="1"/>
  </cols>
  <sheetData>
    <row r="1" spans="1:15">
      <c r="B1" t="s">
        <v>158</v>
      </c>
      <c r="C1" t="s">
        <v>137</v>
      </c>
      <c r="D1" t="s">
        <v>138</v>
      </c>
      <c r="E1" t="s">
        <v>139</v>
      </c>
      <c r="F1" t="s">
        <v>142</v>
      </c>
      <c r="G1" t="s">
        <v>138</v>
      </c>
      <c r="H1" t="s">
        <v>140</v>
      </c>
      <c r="I1" t="s">
        <v>142</v>
      </c>
      <c r="J1" t="s">
        <v>138</v>
      </c>
      <c r="K1" t="s">
        <v>141</v>
      </c>
      <c r="L1" t="s">
        <v>142</v>
      </c>
      <c r="M1" t="s">
        <v>138</v>
      </c>
      <c r="N1" t="s">
        <v>143</v>
      </c>
      <c r="O1" t="s">
        <v>0</v>
      </c>
    </row>
    <row r="2" spans="1:15">
      <c r="A2" t="s">
        <v>146</v>
      </c>
    </row>
    <row r="3" spans="1:15">
      <c r="C3" t="s">
        <v>17</v>
      </c>
      <c r="D3">
        <v>260</v>
      </c>
      <c r="E3" t="s">
        <v>87</v>
      </c>
      <c r="F3" t="s">
        <v>144</v>
      </c>
      <c r="G3">
        <v>505</v>
      </c>
      <c r="N3" t="s">
        <v>145</v>
      </c>
    </row>
    <row r="4" spans="1:15">
      <c r="B4" t="s">
        <v>159</v>
      </c>
      <c r="C4" t="s">
        <v>17</v>
      </c>
      <c r="D4">
        <v>260</v>
      </c>
      <c r="E4" t="s">
        <v>87</v>
      </c>
      <c r="F4" t="s">
        <v>32</v>
      </c>
      <c r="G4">
        <v>505</v>
      </c>
      <c r="N4" t="s">
        <v>87</v>
      </c>
    </row>
    <row r="5" spans="1:15">
      <c r="A5" t="s">
        <v>147</v>
      </c>
    </row>
    <row r="6" spans="1:15">
      <c r="B6" t="s">
        <v>18</v>
      </c>
      <c r="C6" t="s">
        <v>18</v>
      </c>
      <c r="D6">
        <v>376</v>
      </c>
      <c r="E6" t="s">
        <v>24</v>
      </c>
      <c r="F6" t="s">
        <v>32</v>
      </c>
      <c r="G6">
        <v>580</v>
      </c>
      <c r="H6" t="s">
        <v>148</v>
      </c>
      <c r="I6" t="s">
        <v>32</v>
      </c>
      <c r="J6">
        <v>825</v>
      </c>
      <c r="N6" t="s">
        <v>150</v>
      </c>
    </row>
    <row r="7" spans="1:15">
      <c r="B7" t="s">
        <v>19</v>
      </c>
      <c r="C7" t="s">
        <v>19</v>
      </c>
      <c r="D7">
        <v>406</v>
      </c>
      <c r="E7" t="s">
        <v>149</v>
      </c>
      <c r="F7" t="s">
        <v>32</v>
      </c>
      <c r="G7">
        <v>610</v>
      </c>
      <c r="H7" t="s">
        <v>148</v>
      </c>
      <c r="I7" t="s">
        <v>32</v>
      </c>
      <c r="J7">
        <v>855</v>
      </c>
      <c r="N7" t="s">
        <v>151</v>
      </c>
    </row>
    <row r="8" spans="1:15">
      <c r="B8" t="s">
        <v>160</v>
      </c>
      <c r="C8" t="s">
        <v>18</v>
      </c>
      <c r="D8">
        <v>376</v>
      </c>
      <c r="E8" t="s">
        <v>153</v>
      </c>
      <c r="F8" t="s">
        <v>32</v>
      </c>
      <c r="G8">
        <v>621</v>
      </c>
      <c r="H8" t="s">
        <v>24</v>
      </c>
      <c r="I8" t="s">
        <v>144</v>
      </c>
      <c r="J8">
        <v>580</v>
      </c>
      <c r="K8" t="s">
        <v>154</v>
      </c>
      <c r="L8" t="s">
        <v>32</v>
      </c>
      <c r="M8">
        <v>866</v>
      </c>
      <c r="N8" t="s">
        <v>155</v>
      </c>
      <c r="O8" t="s">
        <v>156</v>
      </c>
    </row>
    <row r="9" spans="1:15">
      <c r="A9" t="s">
        <v>157</v>
      </c>
    </row>
    <row r="10" spans="1:15">
      <c r="B10" t="s">
        <v>135</v>
      </c>
      <c r="C10" t="s">
        <v>161</v>
      </c>
      <c r="D10">
        <v>638</v>
      </c>
      <c r="E10" t="s">
        <v>162</v>
      </c>
      <c r="F10" t="s">
        <v>32</v>
      </c>
      <c r="G10">
        <v>402</v>
      </c>
      <c r="H10" t="s">
        <v>101</v>
      </c>
      <c r="I10" t="s">
        <v>144</v>
      </c>
      <c r="J10">
        <v>432</v>
      </c>
      <c r="N10" t="s">
        <v>48</v>
      </c>
    </row>
    <row r="11" spans="1:15">
      <c r="B11" t="s">
        <v>163</v>
      </c>
      <c r="C11" t="s">
        <v>161</v>
      </c>
      <c r="D11">
        <v>638</v>
      </c>
      <c r="E11" t="s">
        <v>164</v>
      </c>
      <c r="F11" t="s">
        <v>32</v>
      </c>
      <c r="G11">
        <v>606</v>
      </c>
      <c r="H11" t="s">
        <v>51</v>
      </c>
      <c r="I11" t="s">
        <v>144</v>
      </c>
      <c r="J11">
        <v>842</v>
      </c>
      <c r="N11" t="s">
        <v>94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D3B1-73FC-471F-BF7D-464BEF914EFC}">
  <dimension ref="D3:F5"/>
  <sheetViews>
    <sheetView workbookViewId="0">
      <selection activeCell="E25" sqref="E25"/>
    </sheetView>
  </sheetViews>
  <sheetFormatPr defaultColWidth="8.75" defaultRowHeight="16.5"/>
  <cols>
    <col min="4" max="4" width="20.375" customWidth="1"/>
    <col min="5" max="5" width="49.25" customWidth="1"/>
  </cols>
  <sheetData>
    <row r="3" spans="4:6">
      <c r="E3" t="s">
        <v>54</v>
      </c>
      <c r="F3" t="s">
        <v>55</v>
      </c>
    </row>
    <row r="4" spans="4:6">
      <c r="E4" t="s">
        <v>57</v>
      </c>
    </row>
    <row r="5" spans="4:6">
      <c r="D5" t="s">
        <v>56</v>
      </c>
      <c r="E5" t="s">
        <v>53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40DE93-E5DB-49F7-A595-E7AEB960E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EF422C-B8D3-4F6C-950A-A4DFD4067B7B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f82b70a8-9591-478e-a6d5-bf315b83c48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80E8E46-C8F1-4EA0-9D75-58D6A3F620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MSlist</vt:lpstr>
      <vt:lpstr>workflow</vt:lpstr>
      <vt:lpstr>ionlist</vt:lpstr>
      <vt:lpstr>interpretation_v2</vt:lpstr>
      <vt:lpstr>evidence_chain_man</vt:lpstr>
      <vt:lpstr>TargetHierarchy</vt:lpstr>
      <vt:lpstr>CompositionConsistency</vt:lpstr>
      <vt:lpstr>MotifPolicy</vt:lpstr>
      <vt:lpstr>UnexpectedEvidencePenalty</vt:lpstr>
      <vt:lpstr>rule_explanation</vt:lpstr>
      <vt:lpstr>some confrimation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2024-09-18T09:26:46Z</dcterms:created>
  <dcterms:modified xsi:type="dcterms:W3CDTF">2026-03-09T03:41:14Z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